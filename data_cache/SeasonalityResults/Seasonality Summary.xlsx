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E20B7F6C3B906/Documents/KC-Streams-Analysis/data_cache/SeasonalityResults/"/>
    </mc:Choice>
  </mc:AlternateContent>
  <xr:revisionPtr revIDLastSave="388" documentId="6_{975CA8F2-EC3C-4CCC-99A1-38AE248739EA}" xr6:coauthVersionLast="47" xr6:coauthVersionMax="47" xr10:uidLastSave="{32AB25C5-3530-4587-9D6F-3E96B749490E}"/>
  <bookViews>
    <workbookView xWindow="28680" yWindow="-4830" windowWidth="29040" windowHeight="15840" activeTab="1" xr2:uid="{CF08EDB0-8CE4-4E23-81FB-C87B3AEE5C98}"/>
  </bookViews>
  <sheets>
    <sheet name="Sheet1" sheetId="1" r:id="rId1"/>
    <sheet name="Sheet2" sheetId="28" r:id="rId2"/>
    <sheet name="Temperature_Monthly_Dist" sheetId="20" r:id="rId3"/>
    <sheet name="Conductivity_Monthly_Dist" sheetId="15" r:id="rId4"/>
    <sheet name="pH_Monthly_Dist" sheetId="26" r:id="rId5"/>
    <sheet name="Temperature_Monthly_Dist (2)" sheetId="27" r:id="rId6"/>
  </sheets>
  <definedNames>
    <definedName name="ExternalData_1" localSheetId="4" hidden="1">pH_Monthly_Dist!$A$1:$G$13</definedName>
    <definedName name="ExternalData_1" localSheetId="5" hidden="1">'Temperature_Monthly_Dist (2)'!$A$1:$G$13</definedName>
    <definedName name="ExternalData_2" localSheetId="3" hidden="1">'Conductivity_Monthly_Dist'!$A$1:$H$13</definedName>
    <definedName name="ExternalData_7" localSheetId="2" hidden="1">Temperature_Monthly_Dist!$A$1:$G$13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28" l="1"/>
  <c r="P42" i="28"/>
  <c r="P37" i="28"/>
  <c r="P34" i="28"/>
  <c r="P33" i="28"/>
  <c r="P30" i="28"/>
  <c r="P29" i="28"/>
  <c r="Q53" i="28"/>
  <c r="P53" i="28"/>
  <c r="P54" i="28"/>
  <c r="Q54" i="28"/>
  <c r="P50" i="28"/>
  <c r="Q50" i="28"/>
  <c r="Q49" i="28"/>
  <c r="P49" i="28"/>
  <c r="Q46" i="28"/>
  <c r="Q45" i="28"/>
  <c r="P45" i="28"/>
  <c r="Q41" i="28"/>
  <c r="P41" i="28"/>
  <c r="P38" i="28"/>
  <c r="Q38" i="28"/>
  <c r="Q37" i="28"/>
  <c r="Q34" i="28"/>
  <c r="Q33" i="28"/>
  <c r="P46" i="28"/>
  <c r="Q30" i="28"/>
  <c r="Q29" i="28"/>
  <c r="P20" i="28"/>
  <c r="P19" i="28"/>
  <c r="P12" i="28"/>
  <c r="P8" i="28"/>
  <c r="P11" i="28"/>
  <c r="Q11" i="28"/>
  <c r="P7" i="28"/>
  <c r="Q8" i="28"/>
  <c r="Q7" i="28"/>
  <c r="Q24" i="28"/>
  <c r="Q23" i="28"/>
  <c r="P24" i="28"/>
  <c r="P23" i="28"/>
  <c r="Q20" i="28"/>
  <c r="Q19" i="28"/>
  <c r="Q16" i="28"/>
  <c r="Q15" i="28"/>
  <c r="P16" i="28"/>
  <c r="P15" i="28"/>
  <c r="Q12" i="28"/>
  <c r="P4" i="28"/>
  <c r="Q4" i="28"/>
  <c r="Q3" i="28"/>
  <c r="P3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79311-68B4-4ACF-B68B-74BE450F6E34}" keepAlive="1" name="Query - Alkalinity_Monthly_Dist" description="Connection to the 'Alkalinity_Monthly_Dist' query in the workbook." type="5" refreshedVersion="8" background="1" saveData="1">
    <dbPr connection="Provider=Microsoft.Mashup.OleDb.1;Data Source=$Workbook$;Location=Alkalinity_Monthly_Dist;Extended Properties=&quot;&quot;" command="SELECT * FROM [Alkalinity_Monthly_Dist]"/>
  </connection>
  <connection id="2" xr16:uid="{9142BB08-F47C-41E1-96D0-8D89CC4B1611}" keepAlive="1" name="Query - Ammonia_Monthly_Dist" description="Connection to the 'Ammonia_Monthly_Dist' query in the workbook." type="5" refreshedVersion="8" background="1" saveData="1">
    <dbPr connection="Provider=Microsoft.Mashup.OleDb.1;Data Source=$Workbook$;Location=Ammonia_Monthly_Dist;Extended Properties=&quot;&quot;" command="SELECT * FROM [Ammonia_Monthly_Dist]"/>
  </connection>
  <connection id="3" xr16:uid="{79ACB714-FE2D-41AA-9BE4-2492DFE42CAA}" keepAlive="1" name="Query - Conductivity_Monthly_Dist" description="Connection to the 'Conductivity_Monthly_Dist' query in the workbook." type="5" refreshedVersion="8" background="1" saveData="1">
    <dbPr connection="Provider=Microsoft.Mashup.OleDb.1;Data Source=$Workbook$;Location=Conductivity_Monthly_Dist;Extended Properties=&quot;&quot;" command="SELECT * FROM [Conductivity_Monthly_Dist]"/>
  </connection>
  <connection id="4" xr16:uid="{688D4C08-07BC-4BC5-AB77-B0255E26D9A7}" keepAlive="1" name="Query - DO_Monthly_Dist" description="Connection to the 'DO_Monthly_Dist' query in the workbook." type="5" refreshedVersion="8" background="1" saveData="1">
    <dbPr connection="Provider=Microsoft.Mashup.OleDb.1;Data Source=$Workbook$;Location=DO_Monthly_Dist;Extended Properties=&quot;&quot;" command="SELECT * FROM [DO_Monthly_Dist]"/>
  </connection>
  <connection id="5" xr16:uid="{D5894EC0-1739-4E1A-9598-2B547C86CD16}" keepAlive="1" name="Query - FecalColiform_Monthly_Dist" description="Connection to the 'FecalColiform_Monthly_Dist' query in the workbook." type="5" refreshedVersion="8" background="1" saveData="1">
    <dbPr connection="Provider=Microsoft.Mashup.OleDb.1;Data Source=$Workbook$;Location=FecalColiform_Monthly_Dist;Extended Properties=&quot;&quot;" command="SELECT * FROM [FecalColiform_Monthly_Dist]"/>
  </connection>
  <connection id="6" xr16:uid="{BA6FA580-5AB8-43F5-8B32-5BD2479D2D24}" keepAlive="1" name="Query - Nitrate_Monthly_Dist" description="Connection to the 'Nitrate_Monthly_Dist' query in the workbook." type="5" refreshedVersion="8" background="1" saveData="1">
    <dbPr connection="Provider=Microsoft.Mashup.OleDb.1;Data Source=$Workbook$;Location=Nitrate_Monthly_Dist;Extended Properties=&quot;&quot;" command="SELECT * FROM [Nitrate_Monthly_Dist]"/>
  </connection>
  <connection id="7" xr16:uid="{79632BAE-604B-47E0-811A-DE3581D28231}" keepAlive="1" name="Query - pH_Monthly_Dist" description="Connection to the 'pH_Monthly_Dist' query in the workbook." type="5" refreshedVersion="8" background="1" saveData="1">
    <dbPr connection="Provider=Microsoft.Mashup.OleDb.1;Data Source=$Workbook$;Location=pH_Monthly_Dist;Extended Properties=&quot;&quot;" command="SELECT * FROM [pH_Monthly_Dist]"/>
  </connection>
  <connection id="8" xr16:uid="{A8FF380E-FF76-40F3-B965-F7DA3C818362}" keepAlive="1" name="Query - Phosphate_Monthly_Dist" description="Connection to the 'Phosphate_Monthly_Dist' query in the workbook." type="5" refreshedVersion="8" background="1" saveData="1">
    <dbPr connection="Provider=Microsoft.Mashup.OleDb.1;Data Source=$Workbook$;Location=Phosphate_Monthly_Dist;Extended Properties=&quot;&quot;" command="SELECT * FROM [Phosphate_Monthly_Dist]"/>
  </connection>
  <connection id="9" xr16:uid="{046E14EE-5018-4AD0-AFF4-C506FFE7ACD1}" keepAlive="1" name="Query - Temperature_Monthly_Dist" description="Connection to the 'Temperature_Monthly_Dist' query in the workbook." type="5" refreshedVersion="8" background="1" saveData="1">
    <dbPr connection="Provider=Microsoft.Mashup.OleDb.1;Data Source=$Workbook$;Location=Temperature_Monthly_Dist;Extended Properties=&quot;&quot;" command="SELECT * FROM [Temperature_Monthly_Dist]"/>
  </connection>
  <connection id="10" xr16:uid="{122AE98B-B519-4C54-B8C4-0BF4399258F1}" keepAlive="1" name="Query - Temperature_Monthly_Dist (2)" description="Connection to the 'Temperature_Monthly_Dist (2)' query in the workbook." type="5" refreshedVersion="8" background="1" saveData="1">
    <dbPr connection="Provider=Microsoft.Mashup.OleDb.1;Data Source=$Workbook$;Location=&quot;Temperature_Monthly_Dist (2)&quot;;Extended Properties=&quot;&quot;" command="SELECT * FROM [Temperature_Monthly_Dist (2)]"/>
  </connection>
  <connection id="11" xr16:uid="{A51A5F74-5E11-411D-82A1-2224AE3BB910}" keepAlive="1" name="Query - TotalN_Monthly_Dist" description="Connection to the 'TotalN_Monthly_Dist' query in the workbook." type="5" refreshedVersion="8" background="1" saveData="1">
    <dbPr connection="Provider=Microsoft.Mashup.OleDb.1;Data Source=$Workbook$;Location=TotalN_Monthly_Dist;Extended Properties=&quot;&quot;" command="SELECT * FROM [TotalN_Monthly_Dist]"/>
  </connection>
  <connection id="12" xr16:uid="{875BFC5A-4B95-49B1-A2E5-990E78B6CE3A}" keepAlive="1" name="Query - TotalP_Monthly_Dist" description="Connection to the 'TotalP_Monthly_Dist' query in the workbook." type="5" refreshedVersion="8" background="1" saveData="1">
    <dbPr connection="Provider=Microsoft.Mashup.OleDb.1;Data Source=$Workbook$;Location=TotalP_Monthly_Dist;Extended Properties=&quot;&quot;" command="SELECT * FROM [TotalP_Monthly_Dist]"/>
  </connection>
  <connection id="13" xr16:uid="{E148771D-A4FC-40BE-B358-57D39EC41CE0}" keepAlive="1" name="Query - TSS_Monthly_Dist" description="Connection to the 'TSS_Monthly_Dist' query in the workbook." type="5" refreshedVersion="8" background="1" saveData="1">
    <dbPr connection="Provider=Microsoft.Mashup.OleDb.1;Data Source=$Workbook$;Location=TSS_Monthly_Dist;Extended Properties=&quot;&quot;" command="SELECT * FROM [TSS_Monthly_Dist]"/>
  </connection>
  <connection id="14" xr16:uid="{DA860DB6-A671-4A6F-B3E7-1FB285E4C8AF}" keepAlive="1" name="Query - Turbidity_Monthly_Dist" description="Connection to the 'Turbidity_Monthly_Dist' query in the workbook." type="5" refreshedVersion="8" background="1" saveData="1">
    <dbPr connection="Provider=Microsoft.Mashup.OleDb.1;Data Source=$Workbook$;Location=Turbidity_Monthly_Dist;Extended Properties=&quot;&quot;" command="SELECT * FROM [Turbidity_Monthly_Dist]"/>
  </connection>
</connections>
</file>

<file path=xl/sharedStrings.xml><?xml version="1.0" encoding="utf-8"?>
<sst xmlns="http://schemas.openxmlformats.org/spreadsheetml/2006/main" count="222" uniqueCount="47">
  <si>
    <t>Column1</t>
  </si>
  <si>
    <t>Month</t>
  </si>
  <si>
    <t>10th</t>
  </si>
  <si>
    <t>25th</t>
  </si>
  <si>
    <t>50th</t>
  </si>
  <si>
    <t>75th</t>
  </si>
  <si>
    <t>90th</t>
  </si>
  <si>
    <t>p-val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</si>
  <si>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</si>
  <si>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</si>
  <si>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</si>
  <si>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</si>
  <si>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</si>
  <si>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</si>
  <si>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</si>
  <si>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</si>
  <si>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</si>
  <si>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</si>
  <si>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</si>
  <si>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</si>
  <si>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Temp</t>
  </si>
  <si>
    <t>Winter High</t>
  </si>
  <si>
    <t>NO3</t>
  </si>
  <si>
    <t>TN</t>
  </si>
  <si>
    <t>NH4</t>
  </si>
  <si>
    <t>Summer High</t>
  </si>
  <si>
    <t>PO4</t>
  </si>
  <si>
    <t>TP</t>
  </si>
  <si>
    <t>TSS</t>
  </si>
  <si>
    <t>Turb</t>
  </si>
  <si>
    <t>FC</t>
  </si>
  <si>
    <t>Alk</t>
  </si>
  <si>
    <t>pH</t>
  </si>
  <si>
    <t>DO</t>
  </si>
  <si>
    <t>cond</t>
  </si>
  <si>
    <t>NO3-N</t>
  </si>
  <si>
    <t>Total-N</t>
  </si>
  <si>
    <t>NH4-N</t>
  </si>
  <si>
    <t>Turbity</t>
  </si>
  <si>
    <t>Total-P</t>
  </si>
  <si>
    <t>PO4-P</t>
  </si>
  <si>
    <t>Fecal Coliform</t>
  </si>
  <si>
    <t>Total Alk</t>
  </si>
  <si>
    <t>Conductivity</t>
  </si>
  <si>
    <t>Temperature (Additive)</t>
  </si>
  <si>
    <t>pH (Additive)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</si>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</sst>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E+00"/>
    <numFmt numFmtId="166" formatCode="0.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</font>
    <font>
      <b/>
      <i/>
      <sz val="9"/>
      <color rgb="FFFFFFFF"/>
      <name val="Aptos"/>
      <family val="2"/>
    </font>
    <font>
      <b/>
      <i/>
      <sz val="9"/>
      <color rgb="FF000000"/>
      <name val="Aptos"/>
      <family val="2"/>
    </font>
    <font>
      <b/>
      <i/>
      <sz val="9"/>
      <color theme="1"/>
      <name val="Aptos"/>
      <family val="2"/>
    </font>
    <font>
      <i/>
      <sz val="9"/>
      <color rgb="FF000000"/>
      <name val="Aptos"/>
      <family val="2"/>
    </font>
    <font>
      <i/>
      <sz val="9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EDED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A5A5A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C9C9C9"/>
      </left>
      <right/>
      <top/>
      <bottom style="medium">
        <color rgb="FFC9C9C9"/>
      </bottom>
      <diagonal/>
    </border>
    <border>
      <left/>
      <right/>
      <top/>
      <bottom style="medium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/>
      <right/>
      <top style="medium">
        <color rgb="FFA5A5A5"/>
      </top>
      <bottom/>
      <diagonal/>
    </border>
    <border>
      <left/>
      <right style="medium">
        <color rgb="FFC9C9C9"/>
      </right>
      <top style="medium">
        <color rgb="FFA5A5A5"/>
      </top>
      <bottom/>
      <diagonal/>
    </border>
    <border>
      <left style="medium">
        <color rgb="FFC9C9C9"/>
      </left>
      <right/>
      <top/>
      <bottom/>
      <diagonal/>
    </border>
    <border>
      <left style="medium">
        <color rgb="FFC9C9C9"/>
      </left>
      <right/>
      <top style="medium">
        <color rgb="FFC9C9C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0" borderId="1" xfId="0" applyBorder="1"/>
    <xf numFmtId="2" fontId="0" fillId="3" borderId="1" xfId="0" applyNumberFormat="1" applyFill="1" applyBorder="1"/>
    <xf numFmtId="2" fontId="0" fillId="0" borderId="1" xfId="0" applyNumberFormat="1" applyBorder="1"/>
    <xf numFmtId="165" fontId="0" fillId="3" borderId="2" xfId="0" applyNumberFormat="1" applyFill="1" applyBorder="1"/>
    <xf numFmtId="165" fontId="0" fillId="0" borderId="2" xfId="0" applyNumberFormat="1" applyBorder="1"/>
    <xf numFmtId="2" fontId="0" fillId="3" borderId="2" xfId="0" applyNumberFormat="1" applyFill="1" applyBorder="1"/>
    <xf numFmtId="166" fontId="0" fillId="0" borderId="0" xfId="0" applyNumberFormat="1"/>
    <xf numFmtId="11" fontId="0" fillId="0" borderId="0" xfId="0" applyNumberFormat="1"/>
    <xf numFmtId="0" fontId="2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4" xfId="0" applyFont="1" applyFill="1" applyBorder="1"/>
    <xf numFmtId="0" fontId="1" fillId="5" borderId="5" xfId="0" applyFont="1" applyFill="1" applyBorder="1"/>
    <xf numFmtId="165" fontId="0" fillId="3" borderId="1" xfId="0" applyNumberFormat="1" applyFill="1" applyBorder="1"/>
    <xf numFmtId="165" fontId="0" fillId="0" borderId="1" xfId="0" applyNumberFormat="1" applyBorder="1"/>
    <xf numFmtId="166" fontId="0" fillId="6" borderId="4" xfId="0" applyNumberFormat="1" applyFill="1" applyBorder="1"/>
    <xf numFmtId="11" fontId="0" fillId="6" borderId="5" xfId="0" applyNumberFormat="1" applyFill="1" applyBorder="1"/>
    <xf numFmtId="166" fontId="0" fillId="0" borderId="4" xfId="0" applyNumberFormat="1" applyBorder="1"/>
    <xf numFmtId="11" fontId="0" fillId="0" borderId="5" xfId="0" applyNumberFormat="1" applyBorder="1"/>
    <xf numFmtId="11" fontId="0" fillId="3" borderId="2" xfId="0" applyNumberFormat="1" applyFill="1" applyBorder="1"/>
    <xf numFmtId="11" fontId="0" fillId="0" borderId="2" xfId="0" applyNumberFormat="1" applyBorder="1"/>
    <xf numFmtId="0" fontId="6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0" fillId="0" borderId="0" xfId="0" applyNumberFormat="1"/>
    <xf numFmtId="167" fontId="0" fillId="3" borderId="1" xfId="0" applyNumberFormat="1" applyFill="1" applyBorder="1"/>
    <xf numFmtId="167" fontId="0" fillId="0" borderId="1" xfId="0" applyNumberFormat="1" applyBorder="1"/>
    <xf numFmtId="164" fontId="0" fillId="3" borderId="1" xfId="0" applyNumberFormat="1" applyFill="1" applyBorder="1"/>
    <xf numFmtId="164" fontId="0" fillId="0" borderId="1" xfId="0" applyNumberFormat="1" applyBorder="1"/>
    <xf numFmtId="166" fontId="0" fillId="6" borderId="5" xfId="0" applyNumberFormat="1" applyFill="1" applyBorder="1"/>
    <xf numFmtId="166" fontId="0" fillId="0" borderId="5" xfId="0" applyNumberFormat="1" applyBorder="1"/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167" fontId="9" fillId="0" borderId="10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167" fontId="9" fillId="0" borderId="11" xfId="0" applyNumberFormat="1" applyFont="1" applyBorder="1" applyAlignment="1">
      <alignment horizontal="center" vertical="center"/>
    </xf>
    <xf numFmtId="167" fontId="8" fillId="4" borderId="10" xfId="0" applyNumberFormat="1" applyFont="1" applyFill="1" applyBorder="1" applyAlignment="1">
      <alignment horizontal="center" vertical="center"/>
    </xf>
    <xf numFmtId="2" fontId="8" fillId="4" borderId="10" xfId="0" applyNumberFormat="1" applyFont="1" applyFill="1" applyBorder="1" applyAlignment="1">
      <alignment horizontal="center" vertical="center"/>
    </xf>
    <xf numFmtId="167" fontId="8" fillId="4" borderId="11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2" fontId="8" fillId="4" borderId="11" xfId="0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numFmt numFmtId="15" formatCode="0.00E+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EDEDED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9C9C9"/>
        </left>
        <right style="medium">
          <color rgb="FFC9C9C9"/>
        </right>
        <top/>
        <bottom style="medium">
          <color rgb="FFC9C9C9"/>
        </bottom>
        <vertical/>
        <horizontal/>
      </border>
    </dxf>
    <dxf>
      <numFmt numFmtId="15" formatCode="0.00E+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5" formatCode="0.0E+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651EED2E-2BD0-411F-8A88-182F64543C48}" autoFormatId="16" applyNumberFormats="0" applyBorderFormats="0" applyFontFormats="0" applyPatternFormats="0" applyAlignmentFormats="0" applyWidthHeightFormats="0">
  <queryTableRefresh nextId="16">
    <queryTableFields count="7">
      <queryTableField id="2" name="Month" tableColumnId="2"/>
      <queryTableField id="3" name="10th" tableColumnId="3"/>
      <queryTableField id="4" name="25th" tableColumnId="4"/>
      <queryTableField id="5" name="50th" tableColumnId="5"/>
      <queryTableField id="6" name="75th" tableColumnId="6"/>
      <queryTableField id="8" name="p-val" tableColumnId="8"/>
      <queryTableField id="1" name="Column1" tableColumnId="1"/>
    </queryTableFields>
    <queryTableDeletedFields count="1">
      <deletedField name="90th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583BD78-29F9-4DF8-9DA9-67CE95C2E237}" autoFormatId="16" applyNumberFormats="0" applyBorderFormats="0" applyFontFormats="0" applyPatternFormats="0" applyAlignmentFormats="0" applyWidthHeightFormats="0">
  <queryTableRefresh nextId="11">
    <queryTableFields count="8">
      <queryTableField id="1" name="Column1" tableColumnId="1"/>
      <queryTableField id="2" name="Month" tableColumnId="2"/>
      <queryTableField id="3" name="10th" tableColumnId="3"/>
      <queryTableField id="4" name="25th" tableColumnId="4"/>
      <queryTableField id="5" name="50th" tableColumnId="5"/>
      <queryTableField id="6" name="75th" tableColumnId="6"/>
      <queryTableField id="9" name="90th" tableColumnId="7"/>
      <queryTableField id="8" name="p-val" tableColumnId="8"/>
    </queryTableFields>
    <queryTableDeletedFields count="1">
      <deletedField name="90th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86867AB-EC97-42BF-BC43-2ABF160BB632}" autoFormatId="16" applyNumberFormats="0" applyBorderFormats="0" applyFontFormats="0" applyPatternFormats="0" applyAlignmentFormats="0" applyWidthHeightFormats="0">
  <queryTableRefresh nextId="11">
    <queryTableFields count="7">
      <queryTableField id="1" name="Column1" tableColumnId="1"/>
      <queryTableField id="2" name="Month" tableColumnId="2"/>
      <queryTableField id="3" name="10th" tableColumnId="3"/>
      <queryTableField id="4" name="25th" tableColumnId="4"/>
      <queryTableField id="5" name="50th" tableColumnId="5"/>
      <queryTableField id="6" name="75th" tableColumnId="6"/>
      <queryTableField id="8" name="p-val" tableColumnId="8"/>
    </queryTableFields>
    <queryTableDeletedFields count="2">
      <deletedField name="90th"/>
      <deletedField name="90th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4342CED-7F3F-4DCF-A3F8-6573FD178469}" autoFormatId="16" applyNumberFormats="0" applyBorderFormats="0" applyFontFormats="0" applyPatternFormats="0" applyAlignmentFormats="0" applyWidthHeightFormats="0">
  <queryTableRefresh nextId="10">
    <queryTableFields count="7">
      <queryTableField id="1" name="Month" tableColumnId="1"/>
      <queryTableField id="2" name="10th" tableColumnId="2"/>
      <queryTableField id="3" name="25th" tableColumnId="3"/>
      <queryTableField id="4" name="50th" tableColumnId="4"/>
      <queryTableField id="5" name="75th" tableColumnId="5"/>
      <queryTableField id="8" name="90th" tableColumnId="6"/>
      <queryTableField id="7" name="p-val" tableColumnId="7"/>
    </queryTableFields>
    <queryTableDeletedFields count="1">
      <deletedField name="90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46FAA6F-A3B6-4844-9B6A-36143FD0717C}" name="Temperature_Monthly_Dist" displayName="Temperature_Monthly_Dist" ref="A1:G13" tableType="queryTable" totalsRowShown="0">
  <autoFilter ref="A1:G13" xr:uid="{A46FAA6F-A3B6-4844-9B6A-36143FD0717C}"/>
  <tableColumns count="7">
    <tableColumn id="2" xr3:uid="{B3BD9C44-A920-45C6-AD3B-8D957B7570BE}" uniqueName="2" name="Month" queryTableFieldId="2"/>
    <tableColumn id="3" xr3:uid="{26EE3260-2FB2-4014-A3C3-CA36BFD0A9D4}" uniqueName="3" name="10th" queryTableFieldId="3" dataDxfId="20"/>
    <tableColumn id="4" xr3:uid="{8569AC73-E420-450C-BC6B-609E07B27860}" uniqueName="4" name="25th" queryTableFieldId="4" dataDxfId="19"/>
    <tableColumn id="5" xr3:uid="{F2132383-5087-4F99-94B1-F4D6CF642A61}" uniqueName="5" name="50th" queryTableFieldId="5" dataDxfId="18"/>
    <tableColumn id="6" xr3:uid="{C772A790-5604-45D7-8817-7C2E31F89149}" uniqueName="6" name="75th" queryTableFieldId="6" dataDxfId="17"/>
    <tableColumn id="8" xr3:uid="{925958F5-C99E-40EB-A722-E44A9E7838C6}" uniqueName="8" name="p-val" queryTableFieldId="8" dataDxfId="16"/>
    <tableColumn id="1" xr3:uid="{A94C7335-4672-4949-942E-B63FC46C51F5}" uniqueName="1" name="Column1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C0656B-494B-47B3-A9E4-9D7DA35405C9}" name="Conductivity_Monthly_Dist" displayName="Conductivity_Monthly_Dist" ref="A1:H13" tableType="queryTable" totalsRowShown="0">
  <autoFilter ref="A1:H13" xr:uid="{3DC0656B-494B-47B3-A9E4-9D7DA35405C9}"/>
  <tableColumns count="8">
    <tableColumn id="1" xr3:uid="{12684CBE-0DFD-421B-9F9C-EA71BE04A963}" uniqueName="1" name="Column1" queryTableFieldId="1"/>
    <tableColumn id="2" xr3:uid="{21620B96-5F1F-4935-9B1F-C8D9EE40BCE9}" uniqueName="2" name="Month" queryTableFieldId="2"/>
    <tableColumn id="3" xr3:uid="{1408619F-8EC9-4A68-8159-277B5F69B6A2}" uniqueName="3" name="10th" queryTableFieldId="3" dataDxfId="15"/>
    <tableColumn id="4" xr3:uid="{D7199FDB-7A66-4CAC-92BE-1D34FC6D6CB6}" uniqueName="4" name="25th" queryTableFieldId="4" dataDxfId="14"/>
    <tableColumn id="5" xr3:uid="{2CA03A08-4362-4B4A-A42E-033C8C763D3C}" uniqueName="5" name="50th" queryTableFieldId="5" dataDxfId="13"/>
    <tableColumn id="6" xr3:uid="{EC35A2A3-8C89-4A3F-87A2-930C3722EB52}" uniqueName="6" name="75th" queryTableFieldId="6" dataDxfId="12"/>
    <tableColumn id="7" xr3:uid="{CAFCAB28-523E-42E9-A759-C77062918922}" uniqueName="7" name="90th" queryTableFieldId="9"/>
    <tableColumn id="8" xr3:uid="{C165A855-451B-454E-A19E-B6F3BBCF8E22}" uniqueName="8" name="p-val" queryTableFieldId="8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E8A63-7BDC-4EBB-8638-16DE0C8C7F00}" name="pH_Monthly_Dist" displayName="pH_Monthly_Dist" ref="A1:G13" tableType="queryTable" totalsRowShown="0">
  <autoFilter ref="A1:G13" xr:uid="{4AEE8A63-7BDC-4EBB-8638-16DE0C8C7F00}"/>
  <tableColumns count="7">
    <tableColumn id="1" xr3:uid="{3A3DCD9B-2AC9-436B-B2E2-9FFCAD9836BF}" uniqueName="1" name="Column1" queryTableFieldId="1"/>
    <tableColumn id="2" xr3:uid="{3D7FF4B4-60A3-4A5B-A9D7-2FA11E693C84}" uniqueName="2" name="Month" queryTableFieldId="2"/>
    <tableColumn id="3" xr3:uid="{1C79E40D-A79D-4A1E-8874-644AEFDCEA2D}" uniqueName="3" name="10th" queryTableFieldId="3" dataDxfId="10"/>
    <tableColumn id="4" xr3:uid="{9930D781-4253-4570-8778-64481CA67CAE}" uniqueName="4" name="25th" queryTableFieldId="4" dataDxfId="9"/>
    <tableColumn id="5" xr3:uid="{73734E21-955B-4779-BEAB-A0D49D2410BE}" uniqueName="5" name="50th" queryTableFieldId="5" dataDxfId="8"/>
    <tableColumn id="6" xr3:uid="{2CC08535-AD18-4CCF-BE0B-200298FF5923}" uniqueName="6" name="75th" queryTableFieldId="6" dataDxfId="7"/>
    <tableColumn id="8" xr3:uid="{A5559533-B02B-448D-A593-A01A1EFFB570}" uniqueName="8" name="p-val" queryTableFieldId="8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803B99-2B19-4083-803F-433846134C9B}" name="Temperature_Monthly_Dist__2" displayName="Temperature_Monthly_Dist__2" ref="A1:G13" tableType="queryTable" totalsRowShown="0">
  <autoFilter ref="A1:G13" xr:uid="{DA803B99-2B19-4083-803F-433846134C9B}"/>
  <tableColumns count="7">
    <tableColumn id="1" xr3:uid="{F530D1C4-AE69-4DDF-9EB5-E63AA6226D60}" uniqueName="1" name="Month" queryTableFieldId="1" dataDxfId="5"/>
    <tableColumn id="2" xr3:uid="{C07EF0EC-C682-4608-A9F7-5E2EC6DCE4E4}" uniqueName="2" name="10th" queryTableFieldId="2" dataDxfId="4"/>
    <tableColumn id="3" xr3:uid="{85052B2B-5C6C-4B6A-8F2E-B2BA8D4B8A8C}" uniqueName="3" name="25th" queryTableFieldId="3" dataDxfId="3"/>
    <tableColumn id="4" xr3:uid="{A0AAA1B5-449B-46D0-8C33-39A69EB9D5CB}" uniqueName="4" name="50th" queryTableFieldId="4" dataDxfId="2"/>
    <tableColumn id="5" xr3:uid="{998F4101-EA42-4F07-AC7E-80A632DCFF1C}" uniqueName="5" name="75th" queryTableFieldId="5" dataDxfId="1"/>
    <tableColumn id="6" xr3:uid="{94F5BB95-CF8E-471D-BF5E-2FB1881899B2}" uniqueName="6" name="90th" queryTableFieldId="8"/>
    <tableColumn id="7" xr3:uid="{7BBD5A12-A526-4981-B893-62359E7DA270}" uniqueName="7" name="p-val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7209-5C84-4F34-B8E8-521973A4E196}">
  <dimension ref="A2:AP57"/>
  <sheetViews>
    <sheetView workbookViewId="0">
      <selection activeCell="H14" sqref="H14"/>
    </sheetView>
  </sheetViews>
  <sheetFormatPr defaultRowHeight="15" x14ac:dyDescent="0.25"/>
  <sheetData>
    <row r="2" spans="2:42" x14ac:dyDescent="0.25">
      <c r="B2" s="1"/>
      <c r="C2" s="1"/>
      <c r="D2" s="1"/>
      <c r="E2" s="1"/>
      <c r="F2" s="1"/>
      <c r="G2" s="2"/>
    </row>
    <row r="3" spans="2:42" x14ac:dyDescent="0.25">
      <c r="B3" s="1"/>
      <c r="C3" s="1"/>
      <c r="D3" s="1"/>
      <c r="E3" s="1"/>
      <c r="F3" s="1"/>
      <c r="G3" s="2"/>
      <c r="M3" s="4" t="s">
        <v>1</v>
      </c>
      <c r="N3" s="6" t="s">
        <v>8</v>
      </c>
      <c r="O3" s="7" t="s">
        <v>9</v>
      </c>
      <c r="P3" s="6" t="s">
        <v>10</v>
      </c>
      <c r="Q3" s="7" t="s">
        <v>11</v>
      </c>
      <c r="R3" s="6" t="s">
        <v>12</v>
      </c>
      <c r="S3" s="7" t="s">
        <v>13</v>
      </c>
      <c r="T3" s="6" t="s">
        <v>14</v>
      </c>
      <c r="U3" s="7" t="s">
        <v>15</v>
      </c>
      <c r="V3" s="6" t="s">
        <v>16</v>
      </c>
      <c r="W3" s="7" t="s">
        <v>17</v>
      </c>
      <c r="X3" s="6" t="s">
        <v>18</v>
      </c>
      <c r="Y3" s="7" t="s">
        <v>19</v>
      </c>
    </row>
    <row r="4" spans="2:42" x14ac:dyDescent="0.25">
      <c r="B4" s="1"/>
      <c r="C4" s="1"/>
      <c r="D4" s="1"/>
      <c r="E4" s="1"/>
      <c r="F4" s="1"/>
      <c r="G4" s="2"/>
      <c r="M4" s="50" t="s">
        <v>21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2:42" x14ac:dyDescent="0.25">
      <c r="B5" s="1"/>
      <c r="C5" s="1"/>
      <c r="D5" s="1"/>
      <c r="E5" s="1"/>
      <c r="F5" s="1"/>
      <c r="G5" s="2"/>
      <c r="L5" t="s">
        <v>22</v>
      </c>
      <c r="M5" s="4" t="s">
        <v>3</v>
      </c>
      <c r="N5" s="8">
        <v>1.0845355525917</v>
      </c>
      <c r="O5" s="9">
        <v>1.10889405807306</v>
      </c>
      <c r="P5" s="8">
        <v>0.95688548600301804</v>
      </c>
      <c r="Q5" s="9">
        <v>0.839330904270293</v>
      </c>
      <c r="R5" s="8">
        <v>0.78500976497776298</v>
      </c>
      <c r="S5" s="9">
        <v>0.71938584905022795</v>
      </c>
      <c r="T5" s="8">
        <v>0.66165736031856903</v>
      </c>
      <c r="U5" s="9">
        <v>0.664869958177287</v>
      </c>
      <c r="V5" s="8">
        <v>0.70406346502202899</v>
      </c>
      <c r="W5" s="9">
        <v>0.80698434179951295</v>
      </c>
      <c r="X5" s="8">
        <v>0.88169648417065305</v>
      </c>
      <c r="Y5" s="9">
        <v>1.0431249565782399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x14ac:dyDescent="0.25">
      <c r="B6" s="1"/>
      <c r="C6" s="1"/>
      <c r="D6" s="1"/>
      <c r="E6" s="1"/>
      <c r="F6" s="1"/>
      <c r="G6" s="2"/>
      <c r="M6" s="4" t="s">
        <v>4</v>
      </c>
      <c r="N6" s="8">
        <v>1.29982886180274</v>
      </c>
      <c r="O6" s="9">
        <v>1.2802539493080101</v>
      </c>
      <c r="P6" s="8">
        <v>1.0886350353313801</v>
      </c>
      <c r="Q6" s="9">
        <v>0.92463262841857696</v>
      </c>
      <c r="R6" s="8">
        <v>0.90387100762631301</v>
      </c>
      <c r="S6" s="9">
        <v>0.882238666089871</v>
      </c>
      <c r="T6" s="8">
        <v>0.88960435842312302</v>
      </c>
      <c r="U6" s="9">
        <v>0.84726442086307896</v>
      </c>
      <c r="V6" s="8">
        <v>0.86361169321301101</v>
      </c>
      <c r="W6" s="9">
        <v>0.88306071019044696</v>
      </c>
      <c r="X6" s="8">
        <v>1.0018060541084099</v>
      </c>
      <c r="Y6" s="9">
        <v>1.2925570949028999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2:42" x14ac:dyDescent="0.25">
      <c r="B7" s="1"/>
      <c r="C7" s="1"/>
      <c r="D7" s="1"/>
      <c r="E7" s="1"/>
      <c r="F7" s="1"/>
      <c r="G7" s="2"/>
      <c r="M7" s="4" t="s">
        <v>5</v>
      </c>
      <c r="N7" s="8">
        <v>1.65500820910228</v>
      </c>
      <c r="O7" s="9">
        <v>1.5627761668103901</v>
      </c>
      <c r="P7" s="8">
        <v>1.2967709357203501</v>
      </c>
      <c r="Q7" s="9">
        <v>1.0315363357998799</v>
      </c>
      <c r="R7" s="8">
        <v>0.97698784443642495</v>
      </c>
      <c r="S7" s="9">
        <v>0.960553740846122</v>
      </c>
      <c r="T7" s="8">
        <v>1.01129798093004</v>
      </c>
      <c r="U7" s="9">
        <v>1.0145197867079201</v>
      </c>
      <c r="V7" s="8">
        <v>0.981641180533116</v>
      </c>
      <c r="W7" s="9">
        <v>0.95318389556968597</v>
      </c>
      <c r="X7" s="8">
        <v>1.17701826634493</v>
      </c>
      <c r="Y7" s="9">
        <v>1.49295878659917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2:42" x14ac:dyDescent="0.25">
      <c r="B8" s="1"/>
      <c r="C8" s="1"/>
      <c r="D8" s="1"/>
      <c r="E8" s="1"/>
      <c r="F8" s="1"/>
      <c r="G8" s="2"/>
      <c r="M8" s="5" t="s">
        <v>7</v>
      </c>
      <c r="N8" s="10">
        <v>4.2231532681670799E-10</v>
      </c>
      <c r="O8" s="11">
        <v>4.66229423986805E-11</v>
      </c>
      <c r="P8" s="10">
        <v>4.3857142833614501E-5</v>
      </c>
      <c r="Q8" s="11">
        <v>1.58223012783977E-3</v>
      </c>
      <c r="R8" s="10">
        <v>1.65571982591604E-9</v>
      </c>
      <c r="S8" s="11">
        <v>3.04737685436122E-11</v>
      </c>
      <c r="T8" s="10">
        <v>6.6027641683305903E-6</v>
      </c>
      <c r="U8" s="11">
        <v>1.6460913735485199E-5</v>
      </c>
      <c r="V8" s="10">
        <v>7.5380177852062105E-7</v>
      </c>
      <c r="W8" s="11">
        <v>5.1427753119531603E-6</v>
      </c>
      <c r="X8" s="12">
        <v>0.19599809116273501</v>
      </c>
      <c r="Y8" s="11">
        <v>6.70988556776035E-10</v>
      </c>
    </row>
    <row r="9" spans="2:42" x14ac:dyDescent="0.25">
      <c r="B9" s="1"/>
      <c r="C9" s="1"/>
      <c r="D9" s="1"/>
      <c r="E9" s="1"/>
      <c r="F9" s="1"/>
      <c r="G9" s="2"/>
      <c r="L9" t="s">
        <v>23</v>
      </c>
      <c r="M9" s="4" t="s">
        <v>3</v>
      </c>
      <c r="N9" s="8">
        <v>1.1212453723345901</v>
      </c>
      <c r="O9" s="9">
        <v>1.1189010772353101</v>
      </c>
      <c r="P9" s="8">
        <v>0.99695838765357703</v>
      </c>
      <c r="Q9" s="9">
        <v>0.89911794959580105</v>
      </c>
      <c r="R9" s="8">
        <v>0.86735227123051295</v>
      </c>
      <c r="S9" s="9">
        <v>0.81807220045417595</v>
      </c>
      <c r="T9" s="8">
        <v>0.75351601123893197</v>
      </c>
      <c r="U9" s="9">
        <v>0.72387047358447598</v>
      </c>
      <c r="V9" s="8">
        <v>0.77411042707727995</v>
      </c>
      <c r="W9" s="9">
        <v>0.88555565672341396</v>
      </c>
      <c r="X9" s="8">
        <v>0.95633136531277496</v>
      </c>
      <c r="Y9" s="9">
        <v>1.0451977392934799</v>
      </c>
    </row>
    <row r="10" spans="2:42" x14ac:dyDescent="0.25">
      <c r="B10" s="1"/>
      <c r="C10" s="1"/>
      <c r="D10" s="1"/>
      <c r="E10" s="1"/>
      <c r="F10" s="1"/>
      <c r="G10" s="2"/>
      <c r="M10" s="4" t="s">
        <v>4</v>
      </c>
      <c r="N10" s="8">
        <v>1.23831165309025</v>
      </c>
      <c r="O10" s="9">
        <v>1.2073074231206899</v>
      </c>
      <c r="P10" s="8">
        <v>1.07168805821049</v>
      </c>
      <c r="Q10" s="9">
        <v>0.96384352991665101</v>
      </c>
      <c r="R10" s="8">
        <v>0.96066023006892298</v>
      </c>
      <c r="S10" s="9">
        <v>0.91571987581761805</v>
      </c>
      <c r="T10" s="8">
        <v>0.89098594423720701</v>
      </c>
      <c r="U10" s="9">
        <v>0.87477565914217603</v>
      </c>
      <c r="V10" s="8">
        <v>0.87787809211187495</v>
      </c>
      <c r="W10" s="9">
        <v>0.94366444822186002</v>
      </c>
      <c r="X10" s="8">
        <v>1.05944881252208</v>
      </c>
      <c r="Y10" s="9">
        <v>1.22654566987271</v>
      </c>
    </row>
    <row r="11" spans="2:42" x14ac:dyDescent="0.25">
      <c r="B11" s="1"/>
      <c r="C11" s="1"/>
      <c r="D11" s="1"/>
      <c r="E11" s="1"/>
      <c r="F11" s="1"/>
      <c r="G11" s="2"/>
      <c r="M11" s="4" t="s">
        <v>5</v>
      </c>
      <c r="N11" s="8">
        <v>1.4054294883227301</v>
      </c>
      <c r="O11" s="9">
        <v>1.3078048935453199</v>
      </c>
      <c r="P11" s="8">
        <v>1.1850983092181899</v>
      </c>
      <c r="Q11" s="9">
        <v>1.0146950737817999</v>
      </c>
      <c r="R11" s="8">
        <v>1.0026722226854801</v>
      </c>
      <c r="S11" s="9">
        <v>0.98164366296606997</v>
      </c>
      <c r="T11" s="8">
        <v>1.0113586446240299</v>
      </c>
      <c r="U11" s="9">
        <v>0.99865252842771601</v>
      </c>
      <c r="V11" s="8">
        <v>0.96347174364223498</v>
      </c>
      <c r="W11" s="9">
        <v>0.99845714115926898</v>
      </c>
      <c r="X11" s="8">
        <v>1.24860883902422</v>
      </c>
      <c r="Y11" s="9">
        <v>1.38717667536067</v>
      </c>
    </row>
    <row r="12" spans="2:42" x14ac:dyDescent="0.25">
      <c r="B12" s="1"/>
      <c r="C12" s="1"/>
      <c r="D12" s="1"/>
      <c r="E12" s="1"/>
      <c r="F12" s="1"/>
      <c r="G12" s="2"/>
      <c r="M12" s="5" t="s">
        <v>7</v>
      </c>
      <c r="N12" s="10">
        <v>2.0012325457557399E-10</v>
      </c>
      <c r="O12" s="11">
        <v>3.3189423210495598E-11</v>
      </c>
      <c r="P12" s="10">
        <v>2.1183595060011602E-6</v>
      </c>
      <c r="Q12" s="11">
        <v>2.1466506758748599E-3</v>
      </c>
      <c r="R12" s="10">
        <v>1.4309031430861199E-5</v>
      </c>
      <c r="S12" s="11">
        <v>5.4104556563280696E-9</v>
      </c>
      <c r="T12" s="10">
        <v>1.0034291853307E-6</v>
      </c>
      <c r="U12" s="11">
        <v>2.87682652365516E-6</v>
      </c>
      <c r="V12" s="10">
        <v>3.81942904186939E-7</v>
      </c>
      <c r="W12" s="11">
        <v>7.46659293284844E-4</v>
      </c>
      <c r="X12" s="10">
        <v>7.9889647350330506E-5</v>
      </c>
      <c r="Y12" s="11">
        <v>2.8877483529507999E-10</v>
      </c>
    </row>
    <row r="13" spans="2:42" x14ac:dyDescent="0.25">
      <c r="B13" s="1"/>
      <c r="C13" s="1"/>
      <c r="D13" s="1"/>
      <c r="E13" s="1"/>
      <c r="F13" s="1"/>
      <c r="G13" s="2"/>
      <c r="L13" t="s">
        <v>24</v>
      </c>
      <c r="M13" s="4" t="s">
        <v>3</v>
      </c>
      <c r="N13" s="8">
        <v>1.04649203754633</v>
      </c>
      <c r="O13" s="9">
        <v>0.98827416382328304</v>
      </c>
      <c r="P13" s="8">
        <v>0.827749087414409</v>
      </c>
      <c r="Q13" s="9">
        <v>0.76181337400208504</v>
      </c>
      <c r="R13" s="8">
        <v>0.92669894956372301</v>
      </c>
      <c r="S13" s="9">
        <v>0.92374459234850703</v>
      </c>
      <c r="T13" s="8">
        <v>0.77224592285634397</v>
      </c>
      <c r="U13" s="9">
        <v>0.71896284542107103</v>
      </c>
      <c r="V13" s="8">
        <v>0.73728309624388999</v>
      </c>
      <c r="W13" s="9">
        <v>0.82478036962188495</v>
      </c>
      <c r="X13" s="8">
        <v>0.88441841603121996</v>
      </c>
      <c r="Y13" s="9">
        <v>1.1566326541171601</v>
      </c>
    </row>
    <row r="14" spans="2:42" x14ac:dyDescent="0.25">
      <c r="M14" s="4" t="s">
        <v>4</v>
      </c>
      <c r="N14" s="8">
        <v>1.3262655582696501</v>
      </c>
      <c r="O14" s="9">
        <v>1.18011907563048</v>
      </c>
      <c r="P14" s="8">
        <v>0.92970525962970596</v>
      </c>
      <c r="Q14" s="9">
        <v>0.84144763334627704</v>
      </c>
      <c r="R14" s="8">
        <v>1.0559876438229201</v>
      </c>
      <c r="S14" s="9">
        <v>1.0584013187358801</v>
      </c>
      <c r="T14" s="8">
        <v>0.92492305170141798</v>
      </c>
      <c r="U14" s="9">
        <v>0.88516138389138399</v>
      </c>
      <c r="V14" s="8">
        <v>0.89299745235213901</v>
      </c>
      <c r="W14" s="9">
        <v>0.95902914165456998</v>
      </c>
      <c r="X14" s="8">
        <v>0.99653818490235602</v>
      </c>
      <c r="Y14" s="9">
        <v>1.38811757977124</v>
      </c>
    </row>
    <row r="15" spans="2:42" x14ac:dyDescent="0.25">
      <c r="M15" s="4" t="s">
        <v>5</v>
      </c>
      <c r="N15" s="8">
        <v>1.4884251455923601</v>
      </c>
      <c r="O15" s="9">
        <v>1.3528921658534101</v>
      </c>
      <c r="P15" s="8">
        <v>1.02611144141539</v>
      </c>
      <c r="Q15" s="9">
        <v>0.94176480741111901</v>
      </c>
      <c r="R15" s="8">
        <v>1.2703795660635999</v>
      </c>
      <c r="S15" s="9">
        <v>1.2244032321543701</v>
      </c>
      <c r="T15" s="8">
        <v>1.07195809132412</v>
      </c>
      <c r="U15" s="9">
        <v>1.0193939551041999</v>
      </c>
      <c r="V15" s="8">
        <v>1.02731140956144</v>
      </c>
      <c r="W15" s="9">
        <v>1.25246382301034</v>
      </c>
      <c r="X15" s="8">
        <v>1.3568614317952401</v>
      </c>
      <c r="Y15" s="9">
        <v>1.71190745973105</v>
      </c>
    </row>
    <row r="16" spans="2:42" x14ac:dyDescent="0.25">
      <c r="M16" s="5" t="s">
        <v>7</v>
      </c>
      <c r="N16" s="10">
        <v>1.6683040875950399E-9</v>
      </c>
      <c r="O16" s="11">
        <v>1.7780771512941901E-7</v>
      </c>
      <c r="P16" s="10">
        <v>4.2245071913953004E-3</v>
      </c>
      <c r="Q16" s="11">
        <v>2.6106973539792999E-8</v>
      </c>
      <c r="R16" s="10">
        <v>4.8383510414640304E-3</v>
      </c>
      <c r="S16" s="11">
        <v>9.8248051311923407E-3</v>
      </c>
      <c r="T16" s="10">
        <v>2.6856230916132498E-3</v>
      </c>
      <c r="U16" s="11">
        <v>4.2985693181258401E-4</v>
      </c>
      <c r="V16" s="10">
        <v>4.8317857759344699E-4</v>
      </c>
      <c r="W16" s="11">
        <v>0.70847483697519498</v>
      </c>
      <c r="X16" s="10">
        <v>0.96279121242465504</v>
      </c>
      <c r="Y16" s="11">
        <v>4.7055169173910601E-11</v>
      </c>
    </row>
    <row r="17" spans="1:25" x14ac:dyDescent="0.25">
      <c r="A17" t="s">
        <v>21</v>
      </c>
      <c r="C17" t="s">
        <v>25</v>
      </c>
      <c r="L17" t="s">
        <v>28</v>
      </c>
      <c r="M17" s="4" t="s">
        <v>3</v>
      </c>
      <c r="N17" s="8">
        <v>1.2860237962496599</v>
      </c>
      <c r="O17" s="9">
        <v>1.15350894693075</v>
      </c>
      <c r="P17" s="8">
        <v>1.12429064849685</v>
      </c>
      <c r="Q17" s="9">
        <v>1.0028931144770199</v>
      </c>
      <c r="R17" s="8">
        <v>1.0539748054009399</v>
      </c>
      <c r="S17" s="9">
        <v>1.00346329672876</v>
      </c>
      <c r="T17" s="8">
        <v>0.70024011001086806</v>
      </c>
      <c r="U17" s="9">
        <v>0.66628087150900395</v>
      </c>
      <c r="V17" s="8">
        <v>0.64830820926594002</v>
      </c>
      <c r="W17" s="9">
        <v>0.79044489899983394</v>
      </c>
      <c r="X17" s="8">
        <v>0.948884281265435</v>
      </c>
      <c r="Y17" s="9">
        <v>1.1207638296458999</v>
      </c>
    </row>
    <row r="18" spans="1:25" x14ac:dyDescent="0.25">
      <c r="A18" t="s">
        <v>22</v>
      </c>
      <c r="C18" t="s">
        <v>26</v>
      </c>
      <c r="M18" s="4" t="s">
        <v>4</v>
      </c>
      <c r="N18" s="8">
        <v>1.55475488876751</v>
      </c>
      <c r="O18" s="9">
        <v>1.3230852571892999</v>
      </c>
      <c r="P18" s="8">
        <v>1.2951669033442801</v>
      </c>
      <c r="Q18" s="9">
        <v>1.1073301008606</v>
      </c>
      <c r="R18" s="8">
        <v>1.20867540285945</v>
      </c>
      <c r="S18" s="9">
        <v>1.15332752039389</v>
      </c>
      <c r="T18" s="8">
        <v>0.85530545342309106</v>
      </c>
      <c r="U18" s="9">
        <v>0.79288450299808499</v>
      </c>
      <c r="V18" s="8">
        <v>0.80799536995663701</v>
      </c>
      <c r="W18" s="9">
        <v>0.92716751302343303</v>
      </c>
      <c r="X18" s="8">
        <v>1.2945536148813299</v>
      </c>
      <c r="Y18" s="9">
        <v>1.4000263960097901</v>
      </c>
    </row>
    <row r="19" spans="1:25" x14ac:dyDescent="0.25">
      <c r="A19" t="s">
        <v>23</v>
      </c>
      <c r="C19" t="s">
        <v>27</v>
      </c>
      <c r="M19" s="4" t="s">
        <v>5</v>
      </c>
      <c r="N19" s="8">
        <v>2.1332520010797902</v>
      </c>
      <c r="O19" s="9">
        <v>1.5176827102066399</v>
      </c>
      <c r="P19" s="8">
        <v>1.5422138461021699</v>
      </c>
      <c r="Q19" s="9">
        <v>1.2682227896870599</v>
      </c>
      <c r="R19" s="8">
        <v>1.4473880743793199</v>
      </c>
      <c r="S19" s="9">
        <v>1.3319254404040599</v>
      </c>
      <c r="T19" s="8">
        <v>1.0147160809739</v>
      </c>
      <c r="U19" s="9">
        <v>0.93186043195945201</v>
      </c>
      <c r="V19" s="8">
        <v>1.0042264150903999</v>
      </c>
      <c r="W19" s="9">
        <v>1.2714299801659601</v>
      </c>
      <c r="X19" s="8">
        <v>1.57625478167682</v>
      </c>
      <c r="Y19" s="9">
        <v>1.7762112027269901</v>
      </c>
    </row>
    <row r="20" spans="1:25" x14ac:dyDescent="0.25">
      <c r="A20" t="s">
        <v>24</v>
      </c>
      <c r="C20" t="s">
        <v>30</v>
      </c>
      <c r="M20" s="5" t="s">
        <v>7</v>
      </c>
      <c r="N20" s="10">
        <v>7.9506931517107195E-12</v>
      </c>
      <c r="O20" s="11">
        <v>3.2608799463203302E-10</v>
      </c>
      <c r="P20" s="10">
        <v>1.3823953865278699E-10</v>
      </c>
      <c r="Q20" s="11">
        <v>1.10923487839181E-5</v>
      </c>
      <c r="R20" s="10">
        <v>1.87895016382255E-9</v>
      </c>
      <c r="S20" s="11">
        <v>2.7871335267342601E-6</v>
      </c>
      <c r="T20" s="10">
        <v>3.46832133257747E-4</v>
      </c>
      <c r="U20" s="11">
        <v>1.3908834768206499E-4</v>
      </c>
      <c r="V20" s="10">
        <v>5.2753503251049897E-5</v>
      </c>
      <c r="W20" s="11">
        <v>0.65732226015121098</v>
      </c>
      <c r="X20" s="10">
        <v>6.6027641683305903E-6</v>
      </c>
      <c r="Y20" s="11">
        <v>3.1315569035265497E-10</v>
      </c>
    </row>
    <row r="21" spans="1:25" x14ac:dyDescent="0.25">
      <c r="A21" t="s">
        <v>28</v>
      </c>
      <c r="C21" t="s">
        <v>31</v>
      </c>
      <c r="L21" t="s">
        <v>29</v>
      </c>
      <c r="M21" s="4" t="s">
        <v>3</v>
      </c>
      <c r="N21" s="8">
        <v>1.3792710414321101</v>
      </c>
      <c r="O21" s="9">
        <v>1.2523784897518599</v>
      </c>
      <c r="P21" s="8">
        <v>1.14730082794736</v>
      </c>
      <c r="Q21" s="9">
        <v>0.98349162835289805</v>
      </c>
      <c r="R21" s="8">
        <v>0.96143766004014897</v>
      </c>
      <c r="S21" s="9">
        <v>0.92785153498677597</v>
      </c>
      <c r="T21" s="8">
        <v>0.69340417782008001</v>
      </c>
      <c r="U21" s="9">
        <v>0.67776054023392796</v>
      </c>
      <c r="V21" s="8">
        <v>0.70215234275604599</v>
      </c>
      <c r="W21" s="9">
        <v>0.84559286726043903</v>
      </c>
      <c r="X21" s="8">
        <v>1.1821008523988199</v>
      </c>
      <c r="Y21" s="9">
        <v>1.2720613864594901</v>
      </c>
    </row>
    <row r="22" spans="1:25" x14ac:dyDescent="0.25">
      <c r="A22" t="s">
        <v>29</v>
      </c>
      <c r="C22" t="s">
        <v>32</v>
      </c>
      <c r="M22" s="4" t="s">
        <v>4</v>
      </c>
      <c r="N22" s="8">
        <v>1.66936770330124</v>
      </c>
      <c r="O22" s="9">
        <v>1.38643798862331</v>
      </c>
      <c r="P22" s="8">
        <v>1.3137173895491501</v>
      </c>
      <c r="Q22" s="9">
        <v>1.08370745650077</v>
      </c>
      <c r="R22" s="8">
        <v>1.0817308327203401</v>
      </c>
      <c r="S22" s="9">
        <v>1.05856663054073</v>
      </c>
      <c r="T22" s="8">
        <v>0.80040282148242503</v>
      </c>
      <c r="U22" s="9">
        <v>0.78815928626513498</v>
      </c>
      <c r="V22" s="8">
        <v>0.78722580167405998</v>
      </c>
      <c r="W22" s="9">
        <v>1.0239508375985999</v>
      </c>
      <c r="X22" s="8">
        <v>1.4228318257258401</v>
      </c>
      <c r="Y22" s="9">
        <v>1.62414538401635</v>
      </c>
    </row>
    <row r="23" spans="1:25" x14ac:dyDescent="0.25">
      <c r="A23" t="s">
        <v>33</v>
      </c>
      <c r="C23" t="s">
        <v>20</v>
      </c>
      <c r="M23" s="4" t="s">
        <v>5</v>
      </c>
      <c r="N23" s="8">
        <v>2.1094342816234102</v>
      </c>
      <c r="O23" s="9">
        <v>1.6525537407365101</v>
      </c>
      <c r="P23" s="8">
        <v>1.42983240104422</v>
      </c>
      <c r="Q23" s="9">
        <v>1.22833926706302</v>
      </c>
      <c r="R23" s="8">
        <v>1.2445510934580499</v>
      </c>
      <c r="S23" s="9">
        <v>1.16216409682998</v>
      </c>
      <c r="T23" s="8">
        <v>0.91527854185015101</v>
      </c>
      <c r="U23" s="9">
        <v>0.92590440171766797</v>
      </c>
      <c r="V23" s="8">
        <v>0.94314013843942701</v>
      </c>
      <c r="W23" s="9">
        <v>1.17538096685106</v>
      </c>
      <c r="X23" s="8">
        <v>1.66478385978383</v>
      </c>
      <c r="Y23" s="9">
        <v>1.89516660462251</v>
      </c>
    </row>
    <row r="24" spans="1:25" x14ac:dyDescent="0.25">
      <c r="C24" t="s">
        <v>34</v>
      </c>
      <c r="M24" s="5" t="s">
        <v>7</v>
      </c>
      <c r="N24" s="10">
        <v>1.52084093304522E-12</v>
      </c>
      <c r="O24" s="11">
        <v>1.17905431258593E-11</v>
      </c>
      <c r="P24" s="10">
        <v>2.16240811877305E-11</v>
      </c>
      <c r="Q24" s="11">
        <v>9.3440595116504792E-6</v>
      </c>
      <c r="R24" s="10">
        <v>1.7537523427874101E-4</v>
      </c>
      <c r="S24" s="11">
        <v>1.0375474149310501E-2</v>
      </c>
      <c r="T24" s="10">
        <v>9.9698886749323404E-8</v>
      </c>
      <c r="U24" s="11">
        <v>3.7499386257570902E-8</v>
      </c>
      <c r="V24" s="10">
        <v>7.8628564253430003E-9</v>
      </c>
      <c r="W24" s="11">
        <v>0.25671906271636602</v>
      </c>
      <c r="X24" s="10">
        <v>2.3441999496645801E-9</v>
      </c>
      <c r="Y24" s="11">
        <v>4.0931945558823702E-12</v>
      </c>
    </row>
    <row r="25" spans="1:25" x14ac:dyDescent="0.25">
      <c r="L25" t="s">
        <v>33</v>
      </c>
      <c r="M25" s="4" t="s">
        <v>3</v>
      </c>
      <c r="N25" s="8">
        <v>1.0810102168845199</v>
      </c>
      <c r="O25" s="9">
        <v>1.08947101024837</v>
      </c>
      <c r="P25" s="8">
        <v>1.0673604481885901</v>
      </c>
      <c r="Q25" s="9">
        <v>1.0329112625371399</v>
      </c>
      <c r="R25" s="8">
        <v>0.96951319847612905</v>
      </c>
      <c r="S25" s="9">
        <v>0.91318458105451095</v>
      </c>
      <c r="T25" s="8">
        <v>0.87701521331517396</v>
      </c>
      <c r="U25" s="9">
        <v>0.86234299904058198</v>
      </c>
      <c r="V25" s="8">
        <v>0.88145961164698206</v>
      </c>
      <c r="W25" s="9">
        <v>0.94021053006314204</v>
      </c>
      <c r="X25" s="8">
        <v>0.99086084145272801</v>
      </c>
      <c r="Y25" s="9">
        <v>1.0526273719585899</v>
      </c>
    </row>
    <row r="26" spans="1:25" x14ac:dyDescent="0.25">
      <c r="M26" s="4" t="s">
        <v>4</v>
      </c>
      <c r="N26" s="8">
        <v>1.10352812063001</v>
      </c>
      <c r="O26" s="9">
        <v>1.1133484789867301</v>
      </c>
      <c r="P26" s="8">
        <v>1.08449548182295</v>
      </c>
      <c r="Q26" s="9">
        <v>1.0426663507531999</v>
      </c>
      <c r="R26" s="8">
        <v>0.98403854342506702</v>
      </c>
      <c r="S26" s="9">
        <v>0.93485140828131497</v>
      </c>
      <c r="T26" s="8">
        <v>0.90918550317653501</v>
      </c>
      <c r="U26" s="9">
        <v>0.89160778851885103</v>
      </c>
      <c r="V26" s="8">
        <v>0.91734056984985202</v>
      </c>
      <c r="W26" s="9">
        <v>0.96118278573984195</v>
      </c>
      <c r="X26" s="8">
        <v>1.00792186091924</v>
      </c>
      <c r="Y26" s="9">
        <v>1.0751567982880501</v>
      </c>
    </row>
    <row r="27" spans="1:25" x14ac:dyDescent="0.25">
      <c r="M27" s="4" t="s">
        <v>5</v>
      </c>
      <c r="N27" s="8">
        <v>1.1337474741259701</v>
      </c>
      <c r="O27" s="9">
        <v>1.14613599661503</v>
      </c>
      <c r="P27" s="8">
        <v>1.1142946676515799</v>
      </c>
      <c r="Q27" s="9">
        <v>1.0606959761106001</v>
      </c>
      <c r="R27" s="8">
        <v>0.99401191903582298</v>
      </c>
      <c r="S27" s="9">
        <v>0.95873343894557295</v>
      </c>
      <c r="T27" s="8">
        <v>0.93401318021153401</v>
      </c>
      <c r="U27" s="9">
        <v>0.916422250789791</v>
      </c>
      <c r="V27" s="8">
        <v>0.93882495532812704</v>
      </c>
      <c r="W27" s="9">
        <v>0.97009611002382601</v>
      </c>
      <c r="X27" s="8">
        <v>1.0174391655817501</v>
      </c>
      <c r="Y27" s="9">
        <v>1.10122678665624</v>
      </c>
    </row>
    <row r="28" spans="1:25" x14ac:dyDescent="0.25">
      <c r="M28" s="5" t="s">
        <v>7</v>
      </c>
      <c r="N28" s="10">
        <v>3.9997662407046703E-15</v>
      </c>
      <c r="O28" s="11">
        <v>3.9997662407046703E-15</v>
      </c>
      <c r="P28" s="10">
        <v>3.9997662407046703E-15</v>
      </c>
      <c r="Q28" s="11">
        <v>7.5873477567318803E-15</v>
      </c>
      <c r="R28" s="10">
        <v>2.4246043381018699E-9</v>
      </c>
      <c r="S28" s="11">
        <v>4.3141434899192598E-15</v>
      </c>
      <c r="T28" s="10">
        <v>3.9997662407046703E-15</v>
      </c>
      <c r="U28" s="11">
        <v>3.9997662407046703E-15</v>
      </c>
      <c r="V28" s="10">
        <v>3.9997662407046703E-15</v>
      </c>
      <c r="W28" s="11">
        <v>4.3224591507953499E-14</v>
      </c>
      <c r="X28" s="10">
        <v>1.49913079891267E-2</v>
      </c>
      <c r="Y28" s="11">
        <v>4.8318200843789997E-15</v>
      </c>
    </row>
    <row r="29" spans="1:25" x14ac:dyDescent="0.25">
      <c r="M29" s="4" t="s">
        <v>25</v>
      </c>
      <c r="N29" s="19"/>
      <c r="O29" s="20"/>
      <c r="P29" s="19"/>
      <c r="Q29" s="20"/>
      <c r="R29" s="19"/>
      <c r="S29" s="20"/>
      <c r="T29" s="19"/>
      <c r="U29" s="20"/>
      <c r="V29" s="19"/>
      <c r="W29" s="20"/>
      <c r="X29" s="19"/>
      <c r="Y29" s="20"/>
    </row>
    <row r="30" spans="1:25" x14ac:dyDescent="0.25">
      <c r="L30" t="s">
        <v>26</v>
      </c>
      <c r="M30" s="4" t="s">
        <v>3</v>
      </c>
      <c r="N30" s="8">
        <v>0.72209399087745096</v>
      </c>
      <c r="O30" s="9">
        <v>0.71369024925957403</v>
      </c>
      <c r="P30" s="8">
        <v>0.67591878469139599</v>
      </c>
      <c r="Q30" s="9">
        <v>0.64135266505465005</v>
      </c>
      <c r="R30" s="8">
        <v>0.84746882402884505</v>
      </c>
      <c r="S30" s="9">
        <v>1.0148275475214299</v>
      </c>
      <c r="T30" s="8">
        <v>1.0818784215291299</v>
      </c>
      <c r="U30" s="9">
        <v>1.10212506910244</v>
      </c>
      <c r="V30" s="8">
        <v>1.0912342182888899</v>
      </c>
      <c r="W30" s="9">
        <v>1.1054558524827101</v>
      </c>
      <c r="X30" s="8">
        <v>0.91670116276145797</v>
      </c>
      <c r="Y30" s="9">
        <v>0.84596414590244795</v>
      </c>
    </row>
    <row r="31" spans="1:25" x14ac:dyDescent="0.25">
      <c r="M31" s="4" t="s">
        <v>4</v>
      </c>
      <c r="N31" s="8">
        <v>0.81773075612835799</v>
      </c>
      <c r="O31" s="9">
        <v>0.80798174182244198</v>
      </c>
      <c r="P31" s="8">
        <v>0.74958358062486297</v>
      </c>
      <c r="Q31" s="9">
        <v>0.718567522594039</v>
      </c>
      <c r="R31" s="8">
        <v>0.93399931208242304</v>
      </c>
      <c r="S31" s="9">
        <v>1.1461815406535401</v>
      </c>
      <c r="T31" s="8">
        <v>1.2776165928573</v>
      </c>
      <c r="U31" s="9">
        <v>1.25511202935272</v>
      </c>
      <c r="V31" s="8">
        <v>1.24586942464712</v>
      </c>
      <c r="W31" s="9">
        <v>1.21692820505122</v>
      </c>
      <c r="X31" s="8">
        <v>0.98925581735701695</v>
      </c>
      <c r="Y31" s="9">
        <v>0.91840497819389699</v>
      </c>
    </row>
    <row r="32" spans="1:25" x14ac:dyDescent="0.25">
      <c r="M32" s="4" t="s">
        <v>5</v>
      </c>
      <c r="N32" s="8">
        <v>1.00564199963706</v>
      </c>
      <c r="O32" s="9">
        <v>0.96155026643858998</v>
      </c>
      <c r="P32" s="8">
        <v>0.87042849806213796</v>
      </c>
      <c r="Q32" s="9">
        <v>0.81339072107510901</v>
      </c>
      <c r="R32" s="8">
        <v>1.02255914117854</v>
      </c>
      <c r="S32" s="9">
        <v>1.25648505500747</v>
      </c>
      <c r="T32" s="8">
        <v>1.4534160063574499</v>
      </c>
      <c r="U32" s="9">
        <v>1.5079136350566</v>
      </c>
      <c r="V32" s="8">
        <v>1.4971632068323599</v>
      </c>
      <c r="W32" s="9">
        <v>1.30992624258468</v>
      </c>
      <c r="X32" s="8">
        <v>1.1357884898394801</v>
      </c>
      <c r="Y32" s="9">
        <v>1.1256881898890001</v>
      </c>
    </row>
    <row r="33" spans="12:25" x14ac:dyDescent="0.25">
      <c r="M33" s="5" t="s">
        <v>7</v>
      </c>
      <c r="N33" s="10">
        <v>2.6312120824569501E-5</v>
      </c>
      <c r="O33" s="11">
        <v>6.9275873337499305E-8</v>
      </c>
      <c r="P33" s="10">
        <v>3.7081842175943198E-9</v>
      </c>
      <c r="Q33" s="11">
        <v>2.1848094435440201E-12</v>
      </c>
      <c r="R33" s="10">
        <v>3.8061694055343599E-4</v>
      </c>
      <c r="S33" s="11">
        <v>1.6620652897831401E-7</v>
      </c>
      <c r="T33" s="10">
        <v>1.16567858731167E-9</v>
      </c>
      <c r="U33" s="11">
        <v>7.2642196446841199E-10</v>
      </c>
      <c r="V33" s="10">
        <v>1.0190520967632799E-8</v>
      </c>
      <c r="W33" s="11">
        <v>1.2072529178525699E-10</v>
      </c>
      <c r="X33" s="10">
        <v>0.75084035946662497</v>
      </c>
      <c r="Y33" s="11">
        <v>0.11738063775939001</v>
      </c>
    </row>
    <row r="34" spans="12:25" x14ac:dyDescent="0.25">
      <c r="L34" t="s">
        <v>27</v>
      </c>
      <c r="M34" s="4" t="s">
        <v>3</v>
      </c>
      <c r="N34" s="8">
        <v>0.86929508255893195</v>
      </c>
      <c r="O34" s="9">
        <v>0.81878952243969305</v>
      </c>
      <c r="P34" s="8">
        <v>0.806153421013585</v>
      </c>
      <c r="Q34" s="9">
        <v>0.80105761928260699</v>
      </c>
      <c r="R34" s="8">
        <v>0.95108963541199198</v>
      </c>
      <c r="S34" s="9">
        <v>1.0224027009954999</v>
      </c>
      <c r="T34" s="8">
        <v>1.0456032518685601</v>
      </c>
      <c r="U34" s="9">
        <v>1.04542010533181</v>
      </c>
      <c r="V34" s="8">
        <v>1.0384587065074</v>
      </c>
      <c r="W34" s="9">
        <v>1.08364881246853</v>
      </c>
      <c r="X34" s="8">
        <v>1.0232020756204301</v>
      </c>
      <c r="Y34" s="9">
        <v>0.94079096362810599</v>
      </c>
    </row>
    <row r="35" spans="12:25" x14ac:dyDescent="0.25">
      <c r="M35" s="4" t="s">
        <v>4</v>
      </c>
      <c r="N35" s="8">
        <v>0.97247592522857795</v>
      </c>
      <c r="O35" s="9">
        <v>0.87778121679582899</v>
      </c>
      <c r="P35" s="8">
        <v>0.88077158148950696</v>
      </c>
      <c r="Q35" s="9">
        <v>0.85072840083939605</v>
      </c>
      <c r="R35" s="8">
        <v>1.0111086808366001</v>
      </c>
      <c r="S35" s="9">
        <v>1.1088746969891401</v>
      </c>
      <c r="T35" s="8">
        <v>1.1421298822408299</v>
      </c>
      <c r="U35" s="9">
        <v>1.14283161339204</v>
      </c>
      <c r="V35" s="8">
        <v>1.1751526792648099</v>
      </c>
      <c r="W35" s="9">
        <v>1.1679884487091601</v>
      </c>
      <c r="X35" s="8">
        <v>1.11749391003315</v>
      </c>
      <c r="Y35" s="9">
        <v>1.0045739670212099</v>
      </c>
    </row>
    <row r="36" spans="12:25" x14ac:dyDescent="0.25">
      <c r="M36" s="4" t="s">
        <v>5</v>
      </c>
      <c r="N36" s="8">
        <v>1.0963236034108901</v>
      </c>
      <c r="O36" s="9">
        <v>1.0285179371894499</v>
      </c>
      <c r="P36" s="8">
        <v>0.96217609528843395</v>
      </c>
      <c r="Q36" s="9">
        <v>0.92896973492346602</v>
      </c>
      <c r="R36" s="8">
        <v>1.09823426182261</v>
      </c>
      <c r="S36" s="9">
        <v>1.2057313499850399</v>
      </c>
      <c r="T36" s="8">
        <v>1.2339257338566001</v>
      </c>
      <c r="U36" s="9">
        <v>1.27691503415966</v>
      </c>
      <c r="V36" s="8">
        <v>1.27635023171579</v>
      </c>
      <c r="W36" s="9">
        <v>1.3067390552878499</v>
      </c>
      <c r="X36" s="8">
        <v>1.29282958796477</v>
      </c>
      <c r="Y36" s="9">
        <v>1.1054035621405001</v>
      </c>
    </row>
    <row r="37" spans="12:25" x14ac:dyDescent="0.25">
      <c r="M37" s="5" t="s">
        <v>7</v>
      </c>
      <c r="N37" s="10">
        <v>0.300200944699894</v>
      </c>
      <c r="O37" s="11">
        <v>6.4186367946685301E-4</v>
      </c>
      <c r="P37" s="10">
        <v>5.6447158973245101E-7</v>
      </c>
      <c r="Q37" s="11">
        <v>1.3823953865278699E-10</v>
      </c>
      <c r="R37" s="10">
        <v>0.107619474534852</v>
      </c>
      <c r="S37" s="11">
        <v>2.2488937724268501E-7</v>
      </c>
      <c r="T37" s="10">
        <v>1.1030339191734501E-6</v>
      </c>
      <c r="U37" s="11">
        <v>8.39161577424935E-8</v>
      </c>
      <c r="V37" s="10">
        <v>1.1833290758586601E-7</v>
      </c>
      <c r="W37" s="11">
        <v>3.6598893781529599E-9</v>
      </c>
      <c r="X37" s="10">
        <v>8.1605625569582894E-9</v>
      </c>
      <c r="Y37" s="11">
        <v>0.17001635356273101</v>
      </c>
    </row>
    <row r="38" spans="12:25" x14ac:dyDescent="0.25">
      <c r="L38" t="s">
        <v>30</v>
      </c>
      <c r="M38" s="4" t="s">
        <v>3</v>
      </c>
      <c r="N38" s="8">
        <v>0.40368133663174499</v>
      </c>
      <c r="O38" s="9">
        <v>0.31294938112770798</v>
      </c>
      <c r="P38" s="8">
        <v>0.35883819785752202</v>
      </c>
      <c r="Q38" s="9">
        <v>0.44802179238366702</v>
      </c>
      <c r="R38" s="8">
        <v>0.98275101545357602</v>
      </c>
      <c r="S38" s="9">
        <v>1.5407021468567901</v>
      </c>
      <c r="T38" s="8">
        <v>1.4297763292642101</v>
      </c>
      <c r="U38" s="9">
        <v>1.56060494451404</v>
      </c>
      <c r="V38" s="8">
        <v>1.43791870491461</v>
      </c>
      <c r="W38" s="9">
        <v>1.1931442116103399</v>
      </c>
      <c r="X38" s="8">
        <v>0.84735692522068695</v>
      </c>
      <c r="Y38" s="9">
        <v>0.57526567209993995</v>
      </c>
    </row>
    <row r="39" spans="12:25" x14ac:dyDescent="0.25">
      <c r="M39" s="4" t="s">
        <v>4</v>
      </c>
      <c r="N39" s="8">
        <v>0.53796200739556799</v>
      </c>
      <c r="O39" s="9">
        <v>0.40199161955047802</v>
      </c>
      <c r="P39" s="8">
        <v>0.480795892486647</v>
      </c>
      <c r="Q39" s="9">
        <v>0.65938143158779705</v>
      </c>
      <c r="R39" s="8">
        <v>1.24499763181249</v>
      </c>
      <c r="S39" s="9">
        <v>1.77816632523665</v>
      </c>
      <c r="T39" s="8">
        <v>1.7730567244994799</v>
      </c>
      <c r="U39" s="9">
        <v>1.92848945306896</v>
      </c>
      <c r="V39" s="8">
        <v>1.7049248808640101</v>
      </c>
      <c r="W39" s="9">
        <v>1.45819731093163</v>
      </c>
      <c r="X39" s="8">
        <v>1.05453178070534</v>
      </c>
      <c r="Y39" s="9">
        <v>0.69396851932730397</v>
      </c>
    </row>
    <row r="40" spans="12:25" x14ac:dyDescent="0.25">
      <c r="M40" s="4" t="s">
        <v>5</v>
      </c>
      <c r="N40" s="8">
        <v>0.67354756419601003</v>
      </c>
      <c r="O40" s="9">
        <v>0.552693736140911</v>
      </c>
      <c r="P40" s="8">
        <v>0.57422114204283103</v>
      </c>
      <c r="Q40" s="9">
        <v>0.76650574476019095</v>
      </c>
      <c r="R40" s="8">
        <v>1.39819893611366</v>
      </c>
      <c r="S40" s="9">
        <v>2.1906521777361299</v>
      </c>
      <c r="T40" s="8">
        <v>2.1391088901778899</v>
      </c>
      <c r="U40" s="9">
        <v>2.2432336039640699</v>
      </c>
      <c r="V40" s="8">
        <v>2.2716546727478102</v>
      </c>
      <c r="W40" s="9">
        <v>1.7413425163823399</v>
      </c>
      <c r="X40" s="8">
        <v>1.33146156317248</v>
      </c>
      <c r="Y40" s="9">
        <v>0.83872768139485598</v>
      </c>
    </row>
    <row r="41" spans="12:25" x14ac:dyDescent="0.25">
      <c r="M41" s="5" t="s">
        <v>7</v>
      </c>
      <c r="N41" s="10">
        <v>3.6264766981435099E-11</v>
      </c>
      <c r="O41" s="11">
        <v>2.67105193603236E-11</v>
      </c>
      <c r="P41" s="10">
        <v>2.5838463685472901E-12</v>
      </c>
      <c r="Q41" s="11">
        <v>2.0518380711431801E-11</v>
      </c>
      <c r="R41" s="10">
        <v>1.21304079024543E-5</v>
      </c>
      <c r="S41" s="11">
        <v>2.0517984215836602E-12</v>
      </c>
      <c r="T41" s="10">
        <v>2.0805559858329002E-12</v>
      </c>
      <c r="U41" s="11">
        <v>1.4831510705016101E-12</v>
      </c>
      <c r="V41" s="10">
        <v>2.4676109525153601E-12</v>
      </c>
      <c r="W41" s="11">
        <v>1.24652892090807E-9</v>
      </c>
      <c r="X41" s="10">
        <v>7.8083548104648806E-2</v>
      </c>
      <c r="Y41" s="11">
        <v>9.1968736465298402E-8</v>
      </c>
    </row>
    <row r="42" spans="12:25" x14ac:dyDescent="0.25">
      <c r="L42" t="s">
        <v>31</v>
      </c>
      <c r="M42" s="4" t="s">
        <v>3</v>
      </c>
      <c r="N42" s="8">
        <v>0.63604775768389099</v>
      </c>
      <c r="O42" s="9">
        <v>0.74372859314892703</v>
      </c>
      <c r="P42" s="8">
        <v>0.77234459198791805</v>
      </c>
      <c r="Q42" s="9">
        <v>0.84826957615852805</v>
      </c>
      <c r="R42" s="8">
        <v>0.97315193339055095</v>
      </c>
      <c r="S42" s="9">
        <v>1.0021604885378601</v>
      </c>
      <c r="T42" s="8">
        <v>1.11637268256393</v>
      </c>
      <c r="U42" s="9">
        <v>1.1467642984070801</v>
      </c>
      <c r="V42" s="8">
        <v>1.1007891312809699</v>
      </c>
      <c r="W42" s="9">
        <v>0.92618547844019405</v>
      </c>
      <c r="X42" s="8">
        <v>0.77328596404907801</v>
      </c>
      <c r="Y42" s="9">
        <v>0.73421137122195801</v>
      </c>
    </row>
    <row r="43" spans="12:25" x14ac:dyDescent="0.25">
      <c r="M43" s="4" t="s">
        <v>4</v>
      </c>
      <c r="N43" s="8">
        <v>0.71312734032075598</v>
      </c>
      <c r="O43" s="9">
        <v>0.82179424712571303</v>
      </c>
      <c r="P43" s="8">
        <v>0.82896483302094803</v>
      </c>
      <c r="Q43" s="9">
        <v>0.893105294033123</v>
      </c>
      <c r="R43" s="8">
        <v>1.01556446385372</v>
      </c>
      <c r="S43" s="9">
        <v>1.0430193528559499</v>
      </c>
      <c r="T43" s="8">
        <v>1.2028209817717801</v>
      </c>
      <c r="U43" s="9">
        <v>1.2426708719089501</v>
      </c>
      <c r="V43" s="8">
        <v>1.2019590265114199</v>
      </c>
      <c r="W43" s="9">
        <v>1.0765783907785</v>
      </c>
      <c r="X43" s="8">
        <v>0.85681813695113695</v>
      </c>
      <c r="Y43" s="9">
        <v>0.78797652569269405</v>
      </c>
    </row>
    <row r="44" spans="12:25" x14ac:dyDescent="0.25">
      <c r="M44" s="4" t="s">
        <v>5</v>
      </c>
      <c r="N44" s="8">
        <v>0.77948206449489998</v>
      </c>
      <c r="O44" s="9">
        <v>0.88679403903169796</v>
      </c>
      <c r="P44" s="8">
        <v>0.89958881224807696</v>
      </c>
      <c r="Q44" s="9">
        <v>0.92653666620433195</v>
      </c>
      <c r="R44" s="8">
        <v>1.0463310516711599</v>
      </c>
      <c r="S44" s="9">
        <v>1.11534182118321</v>
      </c>
      <c r="T44" s="8">
        <v>1.28550631193566</v>
      </c>
      <c r="U44" s="9">
        <v>1.3886223711101999</v>
      </c>
      <c r="V44" s="8">
        <v>1.3452500179182001</v>
      </c>
      <c r="W44" s="9">
        <v>1.1500715564503601</v>
      </c>
      <c r="X44" s="8">
        <v>0.91023782140059495</v>
      </c>
      <c r="Y44" s="9">
        <v>0.83922468201825895</v>
      </c>
    </row>
    <row r="45" spans="12:25" x14ac:dyDescent="0.25">
      <c r="M45" s="5" t="s">
        <v>7</v>
      </c>
      <c r="N45" s="10">
        <v>1.45324651912887E-12</v>
      </c>
      <c r="O45" s="11">
        <v>5.3657689926089897E-12</v>
      </c>
      <c r="P45" s="10">
        <v>1.90785497487551E-12</v>
      </c>
      <c r="Q45" s="11">
        <v>2.50106648843745E-12</v>
      </c>
      <c r="R45" s="10">
        <v>6.1062468716883998E-2</v>
      </c>
      <c r="S45" s="11">
        <v>7.6359048544769694E-6</v>
      </c>
      <c r="T45" s="10">
        <v>1.0086881733477699E-12</v>
      </c>
      <c r="U45" s="11">
        <v>1.38860074034282E-12</v>
      </c>
      <c r="V45" s="10">
        <v>9.4762384626264895E-12</v>
      </c>
      <c r="W45" s="11">
        <v>3.5470588114494602E-3</v>
      </c>
      <c r="X45" s="10">
        <v>3.91471807312767E-12</v>
      </c>
      <c r="Y45" s="11">
        <v>1.1570598195091901E-12</v>
      </c>
    </row>
    <row r="46" spans="12:25" x14ac:dyDescent="0.25">
      <c r="L46" t="s">
        <v>32</v>
      </c>
      <c r="M46" s="17" t="s">
        <v>3</v>
      </c>
      <c r="N46" s="21">
        <v>-0.21387720469446</v>
      </c>
      <c r="O46" s="23">
        <v>-0.120969588744589</v>
      </c>
      <c r="P46" s="21">
        <v>-8.0167045454545505E-2</v>
      </c>
      <c r="Q46" s="23">
        <v>-3.12877056858911E-2</v>
      </c>
      <c r="R46" s="21">
        <v>3.3108987603305801E-2</v>
      </c>
      <c r="S46" s="23">
        <v>4.3344118779483701E-2</v>
      </c>
      <c r="T46" s="21">
        <v>7.8820435053297999E-2</v>
      </c>
      <c r="U46" s="23">
        <v>7.9167622966114196E-2</v>
      </c>
      <c r="V46" s="21">
        <v>5.7710861242155E-2</v>
      </c>
      <c r="W46" s="23">
        <v>-2.3808209647495401E-2</v>
      </c>
      <c r="X46" s="21">
        <v>-0.165743006603468</v>
      </c>
      <c r="Y46" s="23">
        <v>-0.21432224025974</v>
      </c>
    </row>
    <row r="47" spans="12:25" x14ac:dyDescent="0.25">
      <c r="M47" s="17" t="s">
        <v>4</v>
      </c>
      <c r="N47" s="21">
        <v>-0.14458253525666701</v>
      </c>
      <c r="O47" s="23">
        <v>-7.42278134793663E-2</v>
      </c>
      <c r="P47" s="21">
        <v>-2.8412749937260701E-2</v>
      </c>
      <c r="Q47" s="23">
        <v>4.1011812524597204E-3</v>
      </c>
      <c r="R47" s="21">
        <v>5.6187868592759899E-2</v>
      </c>
      <c r="S47" s="23">
        <v>7.3449889520202094E-2</v>
      </c>
      <c r="T47" s="21">
        <v>0.13510873190429601</v>
      </c>
      <c r="U47" s="23">
        <v>0.123775992727664</v>
      </c>
      <c r="V47" s="21">
        <v>9.8207259881040398E-2</v>
      </c>
      <c r="W47" s="23">
        <v>1.70173160173159E-2</v>
      </c>
      <c r="X47" s="21">
        <v>-0.119525866775867</v>
      </c>
      <c r="Y47" s="23">
        <v>-0.16155798260381601</v>
      </c>
    </row>
    <row r="48" spans="12:25" x14ac:dyDescent="0.25">
      <c r="M48" s="17" t="s">
        <v>5</v>
      </c>
      <c r="N48" s="21">
        <v>-8.9157763583035302E-2</v>
      </c>
      <c r="O48" s="23">
        <v>-3.7220084366391099E-2</v>
      </c>
      <c r="P48" s="21">
        <v>4.2709551355950602E-3</v>
      </c>
      <c r="Q48" s="23">
        <v>5.8169135693307901E-2</v>
      </c>
      <c r="R48" s="21">
        <v>9.2977124505928793E-2</v>
      </c>
      <c r="S48" s="23">
        <v>0.116955980940356</v>
      </c>
      <c r="T48" s="21">
        <v>0.17452411616161601</v>
      </c>
      <c r="U48" s="23">
        <v>0.209458886937927</v>
      </c>
      <c r="V48" s="21">
        <v>0.169286439732143</v>
      </c>
      <c r="W48" s="23">
        <v>5.3553954175905402E-2</v>
      </c>
      <c r="X48" s="21">
        <v>-7.7495136019283706E-2</v>
      </c>
      <c r="Y48" s="23">
        <v>-0.131697622053872</v>
      </c>
    </row>
    <row r="49" spans="12:25" x14ac:dyDescent="0.25">
      <c r="M49" s="18" t="s">
        <v>7</v>
      </c>
      <c r="N49" s="22">
        <v>2.9933947876071401E-12</v>
      </c>
      <c r="O49" s="24">
        <v>2.73312775667145E-9</v>
      </c>
      <c r="P49" s="22">
        <v>5.8575402563254698E-5</v>
      </c>
      <c r="Q49" s="24">
        <v>0.23323295563386101</v>
      </c>
      <c r="R49" s="22">
        <v>1.28638611451188E-11</v>
      </c>
      <c r="S49" s="24">
        <v>7.7253407472673104E-11</v>
      </c>
      <c r="T49" s="22">
        <v>3.91471807312767E-12</v>
      </c>
      <c r="U49" s="24">
        <v>3.7438738660489002E-12</v>
      </c>
      <c r="V49" s="22">
        <v>2.3566166928873201E-11</v>
      </c>
      <c r="W49" s="24">
        <v>8.9993038566327996E-3</v>
      </c>
      <c r="X49" s="22">
        <v>4.4743919821850199E-12</v>
      </c>
      <c r="Y49" s="24">
        <v>1.32677749284679E-12</v>
      </c>
    </row>
    <row r="50" spans="12:25" x14ac:dyDescent="0.25">
      <c r="L50" t="s">
        <v>34</v>
      </c>
      <c r="M50" s="4" t="s">
        <v>3</v>
      </c>
      <c r="N50" s="8">
        <v>0.78464926205920804</v>
      </c>
      <c r="O50" s="9">
        <v>0.81549041437982195</v>
      </c>
      <c r="P50" s="8">
        <v>0.82287257014052095</v>
      </c>
      <c r="Q50" s="9">
        <v>0.85223822009759098</v>
      </c>
      <c r="R50" s="8">
        <v>0.954261469030804</v>
      </c>
      <c r="S50" s="9">
        <v>0.99119730352966695</v>
      </c>
      <c r="T50" s="8">
        <v>1.0645809094504699</v>
      </c>
      <c r="U50" s="9">
        <v>1.08095066366876</v>
      </c>
      <c r="V50" s="8">
        <v>1.0748155928126499</v>
      </c>
      <c r="W50" s="9">
        <v>0.96369923152222403</v>
      </c>
      <c r="X50" s="8">
        <v>0.82654514604253104</v>
      </c>
      <c r="Y50" s="9">
        <v>0.82518146579560703</v>
      </c>
    </row>
    <row r="51" spans="12:25" x14ac:dyDescent="0.25">
      <c r="M51" s="4" t="s">
        <v>4</v>
      </c>
      <c r="N51" s="8">
        <v>0.83235531487724002</v>
      </c>
      <c r="O51" s="9">
        <v>0.86565737896037298</v>
      </c>
      <c r="P51" s="8">
        <v>0.86526649950064705</v>
      </c>
      <c r="Q51" s="9">
        <v>0.89790309119201195</v>
      </c>
      <c r="R51" s="8">
        <v>0.97218262940038103</v>
      </c>
      <c r="S51" s="9">
        <v>1.02982417840439</v>
      </c>
      <c r="T51" s="8">
        <v>1.1334114457996001</v>
      </c>
      <c r="U51" s="9">
        <v>1.16763384476184</v>
      </c>
      <c r="V51" s="8">
        <v>1.1496840295797199</v>
      </c>
      <c r="W51" s="9">
        <v>1.07111024744401</v>
      </c>
      <c r="X51" s="8">
        <v>0.90357509837556005</v>
      </c>
      <c r="Y51" s="9">
        <v>0.86127312229234798</v>
      </c>
    </row>
    <row r="52" spans="12:25" x14ac:dyDescent="0.25">
      <c r="M52" s="4" t="s">
        <v>5</v>
      </c>
      <c r="N52" s="8">
        <v>0.88658007402877903</v>
      </c>
      <c r="O52" s="9">
        <v>0.92048091249325603</v>
      </c>
      <c r="P52" s="8">
        <v>0.920000970796929</v>
      </c>
      <c r="Q52" s="9">
        <v>0.92751898300491897</v>
      </c>
      <c r="R52" s="8">
        <v>1.00405377793234</v>
      </c>
      <c r="S52" s="9">
        <v>1.0688289509390201</v>
      </c>
      <c r="T52" s="8">
        <v>1.2024379787755599</v>
      </c>
      <c r="U52" s="9">
        <v>1.3007682554025599</v>
      </c>
      <c r="V52" s="8">
        <v>1.2742863688514701</v>
      </c>
      <c r="W52" s="9">
        <v>1.1348777848552101</v>
      </c>
      <c r="X52" s="8">
        <v>0.97963858732436304</v>
      </c>
      <c r="Y52" s="9">
        <v>0.91632184805607197</v>
      </c>
    </row>
    <row r="53" spans="12:25" x14ac:dyDescent="0.25">
      <c r="M53" s="5" t="s">
        <v>7</v>
      </c>
      <c r="N53" s="10">
        <v>6.3785988541097399E-12</v>
      </c>
      <c r="O53" s="11">
        <v>2.36524483781797E-10</v>
      </c>
      <c r="P53" s="10">
        <v>1.4655389723277601E-11</v>
      </c>
      <c r="Q53" s="11">
        <v>1.21112036294702E-12</v>
      </c>
      <c r="R53" s="10">
        <v>6.1708669381617395E-5</v>
      </c>
      <c r="S53" s="11">
        <v>8.9274457754482501E-4</v>
      </c>
      <c r="T53" s="10">
        <v>3.5803422254146002E-12</v>
      </c>
      <c r="U53" s="11">
        <v>3.5803422254146002E-12</v>
      </c>
      <c r="V53" s="10">
        <v>5.5861028248022903E-12</v>
      </c>
      <c r="W53" s="11">
        <v>1.1623185366959601E-3</v>
      </c>
      <c r="X53" s="10">
        <v>1.1208774546475E-9</v>
      </c>
      <c r="Y53" s="11">
        <v>2.0712664804584299E-11</v>
      </c>
    </row>
    <row r="54" spans="12:25" x14ac:dyDescent="0.25">
      <c r="L54" t="s">
        <v>20</v>
      </c>
      <c r="M54" s="4" t="s">
        <v>3</v>
      </c>
      <c r="N54" s="8">
        <v>-5.1176276806526815</v>
      </c>
      <c r="O54" s="9">
        <v>-4.842346117424241</v>
      </c>
      <c r="P54" s="8">
        <v>-3.241590099483858</v>
      </c>
      <c r="Q54" s="9">
        <v>-1.548674701694742</v>
      </c>
      <c r="R54" s="8">
        <v>0.71149208885732396</v>
      </c>
      <c r="S54" s="9">
        <v>2.4800931637806602</v>
      </c>
      <c r="T54" s="8">
        <v>3.9575765329690675</v>
      </c>
      <c r="U54" s="9">
        <v>4.3180094748212667</v>
      </c>
      <c r="V54" s="8">
        <v>2.8147071850913257</v>
      </c>
      <c r="W54" s="9">
        <v>0.33745132575757142</v>
      </c>
      <c r="X54" s="8">
        <v>-2.0348906371406414</v>
      </c>
      <c r="Y54" s="9">
        <v>-4.512266227885581</v>
      </c>
    </row>
    <row r="55" spans="12:25" x14ac:dyDescent="0.25">
      <c r="M55" s="4" t="s">
        <v>4</v>
      </c>
      <c r="N55" s="8">
        <v>-4.4622810956727816</v>
      </c>
      <c r="O55" s="9">
        <v>-4.3029885697032455</v>
      </c>
      <c r="P55" s="8">
        <v>-2.8216185277141168</v>
      </c>
      <c r="Q55" s="9">
        <v>-0.88392786796537104</v>
      </c>
      <c r="R55" s="8">
        <v>1.21219384982833</v>
      </c>
      <c r="S55" s="9">
        <v>3.0210574714919241</v>
      </c>
      <c r="T55" s="8">
        <v>4.7462367835798709</v>
      </c>
      <c r="U55" s="9">
        <v>4.9881924688316746</v>
      </c>
      <c r="V55" s="8">
        <v>3.2361112157375969</v>
      </c>
      <c r="W55" s="9">
        <v>0.64067592592591993</v>
      </c>
      <c r="X55" s="8">
        <v>-1.6542040700776495</v>
      </c>
      <c r="Y55" s="9">
        <v>-3.769611130675615</v>
      </c>
    </row>
    <row r="56" spans="12:25" x14ac:dyDescent="0.25">
      <c r="M56" s="4" t="s">
        <v>5</v>
      </c>
      <c r="N56" s="8">
        <v>-3.5904643689643723</v>
      </c>
      <c r="O56" s="9">
        <v>-3.6420598731884062</v>
      </c>
      <c r="P56" s="8">
        <v>-2.5035243960300617</v>
      </c>
      <c r="Q56" s="9">
        <v>-0.57663903220715607</v>
      </c>
      <c r="R56" s="8">
        <v>1.6813843650633129</v>
      </c>
      <c r="S56" s="9">
        <v>3.7021150703463155</v>
      </c>
      <c r="T56" s="8">
        <v>5.6567083088538492</v>
      </c>
      <c r="U56" s="9">
        <v>5.8668425093052061</v>
      </c>
      <c r="V56" s="8">
        <v>3.56033838974811</v>
      </c>
      <c r="W56" s="9">
        <v>0.88864867424242888</v>
      </c>
      <c r="X56" s="8">
        <v>-1.3303225793416547</v>
      </c>
      <c r="Y56" s="9">
        <v>-3.2728804320679372</v>
      </c>
    </row>
    <row r="57" spans="12:25" x14ac:dyDescent="0.25">
      <c r="M57" s="5" t="s">
        <v>7</v>
      </c>
      <c r="N57" s="25">
        <v>8.3955301549951131E-13</v>
      </c>
      <c r="O57" s="26">
        <v>8.3955301549951131E-13</v>
      </c>
      <c r="P57" s="25">
        <v>8.3955301549951131E-13</v>
      </c>
      <c r="Q57" s="26">
        <v>1.0559433616283263E-12</v>
      </c>
      <c r="R57" s="25">
        <v>2.3909586819766588E-12</v>
      </c>
      <c r="S57" s="26">
        <v>8.3955301549951131E-13</v>
      </c>
      <c r="T57" s="25">
        <v>8.3955301549951131E-13</v>
      </c>
      <c r="U57" s="26">
        <v>8.3955301549951131E-13</v>
      </c>
      <c r="V57" s="25">
        <v>8.3955301549951131E-13</v>
      </c>
      <c r="W57" s="26">
        <v>3.2504515953414087E-12</v>
      </c>
      <c r="X57" s="25">
        <v>8.3955301549951131E-13</v>
      </c>
      <c r="Y57" s="26">
        <v>8.3955301549951131E-13</v>
      </c>
    </row>
  </sheetData>
  <mergeCells count="1">
    <mergeCell ref="M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3B49-8072-4679-9875-53D407B10602}">
  <dimension ref="A1:Q56"/>
  <sheetViews>
    <sheetView tabSelected="1" zoomScale="140" workbookViewId="0">
      <selection activeCell="N24" sqref="N24"/>
    </sheetView>
  </sheetViews>
  <sheetFormatPr defaultRowHeight="15" x14ac:dyDescent="0.25"/>
  <cols>
    <col min="1" max="1" width="12.5703125" style="49" customWidth="1"/>
    <col min="2" max="14" width="9.140625" style="49"/>
  </cols>
  <sheetData>
    <row r="1" spans="1:17" ht="15.75" thickBot="1" x14ac:dyDescent="0.3">
      <c r="A1" s="48"/>
      <c r="B1" s="36" t="s">
        <v>1</v>
      </c>
      <c r="C1" s="36" t="s">
        <v>8</v>
      </c>
      <c r="D1" s="36" t="s">
        <v>9</v>
      </c>
      <c r="E1" s="36" t="s">
        <v>10</v>
      </c>
      <c r="F1" s="36" t="s">
        <v>11</v>
      </c>
      <c r="G1" s="36" t="s">
        <v>12</v>
      </c>
      <c r="H1" s="36" t="s">
        <v>13</v>
      </c>
      <c r="I1" s="36" t="s">
        <v>14</v>
      </c>
      <c r="J1" s="36" t="s">
        <v>15</v>
      </c>
      <c r="K1" s="36" t="s">
        <v>16</v>
      </c>
      <c r="L1" s="36" t="s">
        <v>17</v>
      </c>
      <c r="M1" s="36" t="s">
        <v>18</v>
      </c>
      <c r="N1" s="37" t="s">
        <v>19</v>
      </c>
    </row>
    <row r="2" spans="1:17" ht="15.75" thickBot="1" x14ac:dyDescent="0.3">
      <c r="A2" s="54" t="s">
        <v>21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5"/>
    </row>
    <row r="3" spans="1:17" ht="15.75" thickBot="1" x14ac:dyDescent="0.3">
      <c r="A3" s="53" t="s">
        <v>36</v>
      </c>
      <c r="B3" s="28" t="s">
        <v>3</v>
      </c>
      <c r="C3" s="39">
        <v>1.1200000000000001</v>
      </c>
      <c r="D3" s="39">
        <v>1.1200000000000001</v>
      </c>
      <c r="E3" s="39">
        <v>1</v>
      </c>
      <c r="F3" s="39">
        <v>0.9</v>
      </c>
      <c r="G3" s="39">
        <v>0.87</v>
      </c>
      <c r="H3" s="39">
        <v>0.82</v>
      </c>
      <c r="I3" s="39">
        <v>0.75</v>
      </c>
      <c r="J3" s="39">
        <v>0.72</v>
      </c>
      <c r="K3" s="39">
        <v>0.77</v>
      </c>
      <c r="L3" s="39">
        <v>0.89</v>
      </c>
      <c r="M3" s="39">
        <v>0.96</v>
      </c>
      <c r="N3" s="46">
        <v>1.05</v>
      </c>
      <c r="P3" s="1">
        <f>MIN(C4:E4,M4:N4)</f>
        <v>1.06</v>
      </c>
      <c r="Q3" s="1">
        <f>MAX(C4:E4,L4:N4)</f>
        <v>1.24</v>
      </c>
    </row>
    <row r="4" spans="1:17" ht="15.75" thickBot="1" x14ac:dyDescent="0.3">
      <c r="A4" s="51"/>
      <c r="B4" s="27" t="s">
        <v>4</v>
      </c>
      <c r="C4" s="42">
        <v>1.24</v>
      </c>
      <c r="D4" s="42">
        <v>1.21</v>
      </c>
      <c r="E4" s="42">
        <v>1.07</v>
      </c>
      <c r="F4" s="42">
        <v>0.96</v>
      </c>
      <c r="G4" s="42">
        <v>0.96</v>
      </c>
      <c r="H4" s="42">
        <v>0.92</v>
      </c>
      <c r="I4" s="42">
        <v>0.89</v>
      </c>
      <c r="J4" s="42">
        <v>0.87</v>
      </c>
      <c r="K4" s="42">
        <v>0.88</v>
      </c>
      <c r="L4" s="42">
        <v>0.94</v>
      </c>
      <c r="M4" s="42">
        <v>1.06</v>
      </c>
      <c r="N4" s="47">
        <v>1.23</v>
      </c>
      <c r="P4" s="1">
        <f>MIN(F4:L4)</f>
        <v>0.87</v>
      </c>
      <c r="Q4" s="1">
        <f>MAX(F4:L4)</f>
        <v>0.96</v>
      </c>
    </row>
    <row r="5" spans="1:17" ht="15.75" thickBot="1" x14ac:dyDescent="0.3">
      <c r="A5" s="51"/>
      <c r="B5" s="28" t="s">
        <v>5</v>
      </c>
      <c r="C5" s="39">
        <v>1.41</v>
      </c>
      <c r="D5" s="39">
        <v>1.31</v>
      </c>
      <c r="E5" s="39">
        <v>1.19</v>
      </c>
      <c r="F5" s="39">
        <v>1.01</v>
      </c>
      <c r="G5" s="39">
        <v>1</v>
      </c>
      <c r="H5" s="39">
        <v>0.98</v>
      </c>
      <c r="I5" s="39">
        <v>1.01</v>
      </c>
      <c r="J5" s="39">
        <v>1</v>
      </c>
      <c r="K5" s="39">
        <v>0.96</v>
      </c>
      <c r="L5" s="39">
        <v>1</v>
      </c>
      <c r="M5" s="39">
        <v>1.25</v>
      </c>
      <c r="N5" s="46">
        <v>1.39</v>
      </c>
    </row>
    <row r="6" spans="1:17" ht="15.75" thickBot="1" x14ac:dyDescent="0.3">
      <c r="A6" s="52"/>
      <c r="B6" s="27" t="s">
        <v>7</v>
      </c>
      <c r="C6" s="44">
        <v>2.0000000000000001E-10</v>
      </c>
      <c r="D6" s="44">
        <v>3.3000000000000002E-11</v>
      </c>
      <c r="E6" s="44">
        <v>2.0999999999999998E-6</v>
      </c>
      <c r="F6" s="44">
        <v>2.0999999999999999E-3</v>
      </c>
      <c r="G6" s="44">
        <v>1.4E-5</v>
      </c>
      <c r="H6" s="44">
        <v>5.4000000000000004E-9</v>
      </c>
      <c r="I6" s="44">
        <v>9.9999999999999995E-7</v>
      </c>
      <c r="J6" s="44">
        <v>2.9000000000000002E-6</v>
      </c>
      <c r="K6" s="44">
        <v>3.8000000000000001E-7</v>
      </c>
      <c r="L6" s="44">
        <v>7.5000000000000002E-4</v>
      </c>
      <c r="M6" s="44">
        <v>8.0000000000000007E-5</v>
      </c>
      <c r="N6" s="45">
        <v>2.8999999999999998E-10</v>
      </c>
    </row>
    <row r="7" spans="1:17" ht="15.75" thickBot="1" x14ac:dyDescent="0.3">
      <c r="A7" s="51" t="s">
        <v>35</v>
      </c>
      <c r="B7" s="28" t="s">
        <v>3</v>
      </c>
      <c r="C7" s="39">
        <v>1.08</v>
      </c>
      <c r="D7" s="39">
        <v>1.1100000000000001</v>
      </c>
      <c r="E7" s="39">
        <v>0.96</v>
      </c>
      <c r="F7" s="39">
        <v>0.84</v>
      </c>
      <c r="G7" s="39">
        <v>0.79</v>
      </c>
      <c r="H7" s="39">
        <v>0.72</v>
      </c>
      <c r="I7" s="39">
        <v>0.66</v>
      </c>
      <c r="J7" s="39">
        <v>0.66</v>
      </c>
      <c r="K7" s="39">
        <v>0.7</v>
      </c>
      <c r="L7" s="39">
        <v>0.81</v>
      </c>
      <c r="M7" s="39">
        <v>0.88</v>
      </c>
      <c r="N7" s="46">
        <v>1.04</v>
      </c>
      <c r="P7" s="1">
        <f>MIN(C8:E8,N8)</f>
        <v>1.0900000000000001</v>
      </c>
      <c r="Q7" s="1">
        <f>MAX(C8:E8,N8)</f>
        <v>1.3</v>
      </c>
    </row>
    <row r="8" spans="1:17" ht="15.75" thickBot="1" x14ac:dyDescent="0.3">
      <c r="A8" s="51"/>
      <c r="B8" s="27" t="s">
        <v>4</v>
      </c>
      <c r="C8" s="42">
        <v>1.3</v>
      </c>
      <c r="D8" s="42">
        <v>1.28</v>
      </c>
      <c r="E8" s="42">
        <v>1.0900000000000001</v>
      </c>
      <c r="F8" s="42">
        <v>0.92</v>
      </c>
      <c r="G8" s="42">
        <v>0.9</v>
      </c>
      <c r="H8" s="42">
        <v>0.88</v>
      </c>
      <c r="I8" s="42">
        <v>0.89</v>
      </c>
      <c r="J8" s="42">
        <v>0.85</v>
      </c>
      <c r="K8" s="42">
        <v>0.86</v>
      </c>
      <c r="L8" s="42">
        <v>0.88</v>
      </c>
      <c r="M8" s="42">
        <v>1</v>
      </c>
      <c r="N8" s="47">
        <v>1.29</v>
      </c>
      <c r="P8" s="1">
        <f>AVERAGE(F8:L8)</f>
        <v>0.8828571428571429</v>
      </c>
      <c r="Q8" s="1">
        <f>MAX(F8:L8)</f>
        <v>0.92</v>
      </c>
    </row>
    <row r="9" spans="1:17" ht="15.75" thickBot="1" x14ac:dyDescent="0.3">
      <c r="A9" s="51"/>
      <c r="B9" s="28" t="s">
        <v>5</v>
      </c>
      <c r="C9" s="39">
        <v>1.66</v>
      </c>
      <c r="D9" s="39">
        <v>1.56</v>
      </c>
      <c r="E9" s="39">
        <v>1.3</v>
      </c>
      <c r="F9" s="39">
        <v>1.03</v>
      </c>
      <c r="G9" s="39">
        <v>0.98</v>
      </c>
      <c r="H9" s="39">
        <v>0.96</v>
      </c>
      <c r="I9" s="39">
        <v>1.01</v>
      </c>
      <c r="J9" s="39">
        <v>1.01</v>
      </c>
      <c r="K9" s="39">
        <v>0.98</v>
      </c>
      <c r="L9" s="39">
        <v>0.95</v>
      </c>
      <c r="M9" s="39">
        <v>1.18</v>
      </c>
      <c r="N9" s="46">
        <v>1.49</v>
      </c>
    </row>
    <row r="10" spans="1:17" ht="15.75" thickBot="1" x14ac:dyDescent="0.3">
      <c r="A10" s="52"/>
      <c r="B10" s="27" t="s">
        <v>7</v>
      </c>
      <c r="C10" s="44">
        <v>4.2E-10</v>
      </c>
      <c r="D10" s="44">
        <v>4.6999999999999999E-11</v>
      </c>
      <c r="E10" s="44">
        <v>4.3999999999999999E-5</v>
      </c>
      <c r="F10" s="44">
        <v>1.6000000000000001E-3</v>
      </c>
      <c r="G10" s="44">
        <v>1.6999999999999999E-9</v>
      </c>
      <c r="H10" s="44">
        <v>3E-11</v>
      </c>
      <c r="I10" s="44">
        <v>6.6000000000000003E-6</v>
      </c>
      <c r="J10" s="44">
        <v>1.5999999999999999E-5</v>
      </c>
      <c r="K10" s="44">
        <v>7.5000000000000002E-7</v>
      </c>
      <c r="L10" s="44">
        <v>5.1000000000000003E-6</v>
      </c>
      <c r="M10" s="44">
        <v>0.2</v>
      </c>
      <c r="N10" s="45">
        <v>6.6999999999999996E-10</v>
      </c>
    </row>
    <row r="11" spans="1:17" ht="15.75" thickBot="1" x14ac:dyDescent="0.3">
      <c r="A11" s="53" t="s">
        <v>37</v>
      </c>
      <c r="B11" s="28" t="s">
        <v>3</v>
      </c>
      <c r="C11" s="39">
        <v>1.05</v>
      </c>
      <c r="D11" s="39">
        <v>0.99</v>
      </c>
      <c r="E11" s="39">
        <v>0.83</v>
      </c>
      <c r="F11" s="39">
        <v>0.76</v>
      </c>
      <c r="G11" s="39">
        <v>0.93</v>
      </c>
      <c r="H11" s="39">
        <v>0.92</v>
      </c>
      <c r="I11" s="39">
        <v>0.77</v>
      </c>
      <c r="J11" s="39">
        <v>0.72</v>
      </c>
      <c r="K11" s="39">
        <v>0.74</v>
      </c>
      <c r="L11" s="39">
        <v>0.82</v>
      </c>
      <c r="M11" s="39">
        <v>0.88</v>
      </c>
      <c r="N11" s="46">
        <v>1.1599999999999999</v>
      </c>
      <c r="P11" s="1">
        <f>MIN(C12:D12,N12,G12:H12)</f>
        <v>1.06</v>
      </c>
      <c r="Q11" s="1">
        <f>MAX(C12:D12,N12,G12:H12)</f>
        <v>1.39</v>
      </c>
    </row>
    <row r="12" spans="1:17" ht="15.75" thickBot="1" x14ac:dyDescent="0.3">
      <c r="A12" s="51"/>
      <c r="B12" s="27" t="s">
        <v>4</v>
      </c>
      <c r="C12" s="42">
        <v>1.33</v>
      </c>
      <c r="D12" s="42">
        <v>1.18</v>
      </c>
      <c r="E12" s="42">
        <v>0.93</v>
      </c>
      <c r="F12" s="42">
        <v>0.84</v>
      </c>
      <c r="G12" s="42">
        <v>1.06</v>
      </c>
      <c r="H12" s="42">
        <v>1.06</v>
      </c>
      <c r="I12" s="42">
        <v>0.92</v>
      </c>
      <c r="J12" s="42">
        <v>0.89</v>
      </c>
      <c r="K12" s="42">
        <v>0.89</v>
      </c>
      <c r="L12" s="42">
        <v>0.96</v>
      </c>
      <c r="M12" s="42">
        <v>1</v>
      </c>
      <c r="N12" s="47">
        <v>1.39</v>
      </c>
      <c r="P12" s="1">
        <f>MIN(E12:F12,I12:K12)</f>
        <v>0.84</v>
      </c>
      <c r="Q12" s="1">
        <f>MAX(E12:F12,I12:K12)</f>
        <v>0.93</v>
      </c>
    </row>
    <row r="13" spans="1:17" ht="15.75" thickBot="1" x14ac:dyDescent="0.3">
      <c r="A13" s="51"/>
      <c r="B13" s="28" t="s">
        <v>5</v>
      </c>
      <c r="C13" s="39">
        <v>1.49</v>
      </c>
      <c r="D13" s="39">
        <v>1.35</v>
      </c>
      <c r="E13" s="39">
        <v>1.03</v>
      </c>
      <c r="F13" s="39">
        <v>0.94</v>
      </c>
      <c r="G13" s="39">
        <v>1.27</v>
      </c>
      <c r="H13" s="39">
        <v>1.22</v>
      </c>
      <c r="I13" s="39">
        <v>1.07</v>
      </c>
      <c r="J13" s="39">
        <v>1.02</v>
      </c>
      <c r="K13" s="39">
        <v>1.03</v>
      </c>
      <c r="L13" s="39">
        <v>1.25</v>
      </c>
      <c r="M13" s="39">
        <v>1.36</v>
      </c>
      <c r="N13" s="46">
        <v>1.71</v>
      </c>
      <c r="P13" t="s">
        <v>46</v>
      </c>
    </row>
    <row r="14" spans="1:17" ht="15.75" thickBot="1" x14ac:dyDescent="0.3">
      <c r="A14" s="52"/>
      <c r="B14" s="27" t="s">
        <v>7</v>
      </c>
      <c r="C14" s="44">
        <v>1.6999999999999999E-9</v>
      </c>
      <c r="D14" s="44">
        <v>1.8E-7</v>
      </c>
      <c r="E14" s="44">
        <v>4.1999999999999997E-3</v>
      </c>
      <c r="F14" s="44">
        <v>2.6000000000000001E-8</v>
      </c>
      <c r="G14" s="44">
        <v>4.7999999999999996E-3</v>
      </c>
      <c r="H14" s="44">
        <v>9.7999999999999997E-3</v>
      </c>
      <c r="I14" s="44">
        <v>2.7000000000000001E-3</v>
      </c>
      <c r="J14" s="44">
        <v>4.2999999999999999E-4</v>
      </c>
      <c r="K14" s="44">
        <v>4.8000000000000001E-4</v>
      </c>
      <c r="L14" s="44">
        <v>0.71</v>
      </c>
      <c r="M14" s="44">
        <v>0.96</v>
      </c>
      <c r="N14" s="45">
        <v>4.6999999999999999E-11</v>
      </c>
    </row>
    <row r="15" spans="1:17" ht="15.75" thickBot="1" x14ac:dyDescent="0.3">
      <c r="A15" s="53" t="s">
        <v>28</v>
      </c>
      <c r="B15" s="28" t="s">
        <v>3</v>
      </c>
      <c r="C15" s="39">
        <v>1.29</v>
      </c>
      <c r="D15" s="39">
        <v>1.1499999999999999</v>
      </c>
      <c r="E15" s="39">
        <v>1.1200000000000001</v>
      </c>
      <c r="F15" s="39">
        <v>1</v>
      </c>
      <c r="G15" s="39">
        <v>1.05</v>
      </c>
      <c r="H15" s="39">
        <v>1</v>
      </c>
      <c r="I15" s="39">
        <v>0.7</v>
      </c>
      <c r="J15" s="39">
        <v>0.67</v>
      </c>
      <c r="K15" s="39">
        <v>0.65</v>
      </c>
      <c r="L15" s="39">
        <v>0.79</v>
      </c>
      <c r="M15" s="39">
        <v>0.95</v>
      </c>
      <c r="N15" s="46">
        <v>1.1200000000000001</v>
      </c>
      <c r="P15" s="1">
        <f>MIN(C16:H16,M16:N16)</f>
        <v>1.1100000000000001</v>
      </c>
      <c r="Q15" s="1">
        <f>MAX(C16:H16,M16:N16)</f>
        <v>1.55</v>
      </c>
    </row>
    <row r="16" spans="1:17" ht="15.75" thickBot="1" x14ac:dyDescent="0.3">
      <c r="A16" s="51"/>
      <c r="B16" s="27" t="s">
        <v>4</v>
      </c>
      <c r="C16" s="42">
        <v>1.55</v>
      </c>
      <c r="D16" s="42">
        <v>1.32</v>
      </c>
      <c r="E16" s="42">
        <v>1.3</v>
      </c>
      <c r="F16" s="42">
        <v>1.1100000000000001</v>
      </c>
      <c r="G16" s="42">
        <v>1.21</v>
      </c>
      <c r="H16" s="42">
        <v>1.1499999999999999</v>
      </c>
      <c r="I16" s="42">
        <v>0.86</v>
      </c>
      <c r="J16" s="42">
        <v>0.79</v>
      </c>
      <c r="K16" s="42">
        <v>0.81</v>
      </c>
      <c r="L16" s="42">
        <v>0.93</v>
      </c>
      <c r="M16" s="42">
        <v>1.29</v>
      </c>
      <c r="N16" s="47">
        <v>1.4</v>
      </c>
      <c r="P16" s="1">
        <f>MIN(I16:K16)</f>
        <v>0.79</v>
      </c>
      <c r="Q16" s="1">
        <f>MAX(I16:K16)</f>
        <v>0.86</v>
      </c>
    </row>
    <row r="17" spans="1:17" ht="15.75" thickBot="1" x14ac:dyDescent="0.3">
      <c r="A17" s="51"/>
      <c r="B17" s="28" t="s">
        <v>5</v>
      </c>
      <c r="C17" s="39">
        <v>2.13</v>
      </c>
      <c r="D17" s="39">
        <v>1.52</v>
      </c>
      <c r="E17" s="39">
        <v>1.54</v>
      </c>
      <c r="F17" s="39">
        <v>1.27</v>
      </c>
      <c r="G17" s="39">
        <v>1.45</v>
      </c>
      <c r="H17" s="39">
        <v>1.33</v>
      </c>
      <c r="I17" s="39">
        <v>1.01</v>
      </c>
      <c r="J17" s="39">
        <v>0.93</v>
      </c>
      <c r="K17" s="39">
        <v>1</v>
      </c>
      <c r="L17" s="39">
        <v>1.27</v>
      </c>
      <c r="M17" s="39">
        <v>1.58</v>
      </c>
      <c r="N17" s="46">
        <v>1.78</v>
      </c>
    </row>
    <row r="18" spans="1:17" ht="15.75" thickBot="1" x14ac:dyDescent="0.3">
      <c r="A18" s="52"/>
      <c r="B18" s="27" t="s">
        <v>7</v>
      </c>
      <c r="C18" s="44">
        <v>7.9999999999999998E-12</v>
      </c>
      <c r="D18" s="44">
        <v>3.3E-10</v>
      </c>
      <c r="E18" s="44">
        <v>1.4000000000000001E-10</v>
      </c>
      <c r="F18" s="44">
        <v>1.1E-5</v>
      </c>
      <c r="G18" s="44">
        <v>1.9000000000000001E-9</v>
      </c>
      <c r="H18" s="44">
        <v>2.7999999999999999E-6</v>
      </c>
      <c r="I18" s="44">
        <v>3.5E-4</v>
      </c>
      <c r="J18" s="44">
        <v>1.3999999999999999E-4</v>
      </c>
      <c r="K18" s="44">
        <v>5.3000000000000001E-5</v>
      </c>
      <c r="L18" s="44">
        <v>0.66</v>
      </c>
      <c r="M18" s="44">
        <v>6.6000000000000003E-6</v>
      </c>
      <c r="N18" s="45">
        <v>3.1000000000000002E-10</v>
      </c>
    </row>
    <row r="19" spans="1:17" ht="15.75" thickBot="1" x14ac:dyDescent="0.3">
      <c r="A19" s="53" t="s">
        <v>38</v>
      </c>
      <c r="B19" s="28" t="s">
        <v>3</v>
      </c>
      <c r="C19" s="39">
        <v>1.38</v>
      </c>
      <c r="D19" s="39">
        <v>1.25</v>
      </c>
      <c r="E19" s="39">
        <v>1.1499999999999999</v>
      </c>
      <c r="F19" s="39">
        <v>0.98</v>
      </c>
      <c r="G19" s="39">
        <v>0.96</v>
      </c>
      <c r="H19" s="39">
        <v>0.93</v>
      </c>
      <c r="I19" s="39">
        <v>0.69</v>
      </c>
      <c r="J19" s="39">
        <v>0.68</v>
      </c>
      <c r="K19" s="39">
        <v>0.7</v>
      </c>
      <c r="L19" s="39">
        <v>0.85</v>
      </c>
      <c r="M19" s="39">
        <v>1.18</v>
      </c>
      <c r="N19" s="46">
        <v>1.27</v>
      </c>
      <c r="P19" s="1">
        <f>MIN(C20:G20,M20:N20)</f>
        <v>1.08</v>
      </c>
      <c r="Q19" s="1">
        <f>MAX(C20:G20,M20:N20)</f>
        <v>1.67</v>
      </c>
    </row>
    <row r="20" spans="1:17" ht="15.75" thickBot="1" x14ac:dyDescent="0.3">
      <c r="A20" s="51"/>
      <c r="B20" s="27" t="s">
        <v>4</v>
      </c>
      <c r="C20" s="42">
        <v>1.67</v>
      </c>
      <c r="D20" s="42">
        <v>1.39</v>
      </c>
      <c r="E20" s="42">
        <v>1.31</v>
      </c>
      <c r="F20" s="42">
        <v>1.08</v>
      </c>
      <c r="G20" s="42">
        <v>1.08</v>
      </c>
      <c r="H20" s="42">
        <v>1.06</v>
      </c>
      <c r="I20" s="42">
        <v>0.8</v>
      </c>
      <c r="J20" s="42">
        <v>0.79</v>
      </c>
      <c r="K20" s="42">
        <v>0.79</v>
      </c>
      <c r="L20" s="42">
        <v>1.02</v>
      </c>
      <c r="M20" s="42">
        <v>1.42</v>
      </c>
      <c r="N20" s="47">
        <v>1.62</v>
      </c>
      <c r="P20" s="1">
        <f>MIN(I20:K20)</f>
        <v>0.79</v>
      </c>
      <c r="Q20" s="1">
        <f>MAX(I20:K20)</f>
        <v>0.8</v>
      </c>
    </row>
    <row r="21" spans="1:17" ht="15.75" thickBot="1" x14ac:dyDescent="0.3">
      <c r="A21" s="51"/>
      <c r="B21" s="28" t="s">
        <v>5</v>
      </c>
      <c r="C21" s="39">
        <v>2.11</v>
      </c>
      <c r="D21" s="39">
        <v>1.65</v>
      </c>
      <c r="E21" s="39">
        <v>1.43</v>
      </c>
      <c r="F21" s="39">
        <v>1.23</v>
      </c>
      <c r="G21" s="39">
        <v>1.24</v>
      </c>
      <c r="H21" s="39">
        <v>1.1599999999999999</v>
      </c>
      <c r="I21" s="39">
        <v>0.92</v>
      </c>
      <c r="J21" s="39">
        <v>0.93</v>
      </c>
      <c r="K21" s="39">
        <v>0.94</v>
      </c>
      <c r="L21" s="39">
        <v>1.18</v>
      </c>
      <c r="M21" s="39">
        <v>1.66</v>
      </c>
      <c r="N21" s="46">
        <v>1.9</v>
      </c>
    </row>
    <row r="22" spans="1:17" ht="15.75" thickBot="1" x14ac:dyDescent="0.3">
      <c r="A22" s="52"/>
      <c r="B22" s="27" t="s">
        <v>7</v>
      </c>
      <c r="C22" s="44">
        <v>1.5000000000000001E-12</v>
      </c>
      <c r="D22" s="44">
        <v>1.2000000000000001E-11</v>
      </c>
      <c r="E22" s="44">
        <v>2.2000000000000002E-11</v>
      </c>
      <c r="F22" s="44">
        <v>9.3000000000000007E-6</v>
      </c>
      <c r="G22" s="44">
        <v>1.8000000000000001E-4</v>
      </c>
      <c r="H22" s="44">
        <v>0.01</v>
      </c>
      <c r="I22" s="44">
        <v>9.9999999999999995E-8</v>
      </c>
      <c r="J22" s="44">
        <v>3.7E-8</v>
      </c>
      <c r="K22" s="44">
        <v>7.8999999999999996E-9</v>
      </c>
      <c r="L22" s="44">
        <v>0.26</v>
      </c>
      <c r="M22" s="44">
        <v>2.2999999999999999E-9</v>
      </c>
      <c r="N22" s="45">
        <v>4.0999999999999999E-12</v>
      </c>
    </row>
    <row r="23" spans="1:17" ht="15.75" thickBot="1" x14ac:dyDescent="0.3">
      <c r="A23" s="53" t="s">
        <v>33</v>
      </c>
      <c r="B23" s="28" t="s">
        <v>3</v>
      </c>
      <c r="C23" s="39">
        <v>1.08</v>
      </c>
      <c r="D23" s="39">
        <v>1.0900000000000001</v>
      </c>
      <c r="E23" s="39">
        <v>1.07</v>
      </c>
      <c r="F23" s="39">
        <v>1.03</v>
      </c>
      <c r="G23" s="39">
        <v>0.97</v>
      </c>
      <c r="H23" s="39">
        <v>0.91</v>
      </c>
      <c r="I23" s="39">
        <v>0.88</v>
      </c>
      <c r="J23" s="39">
        <v>0.86</v>
      </c>
      <c r="K23" s="39">
        <v>0.88</v>
      </c>
      <c r="L23" s="39">
        <v>0.94</v>
      </c>
      <c r="M23" s="39">
        <v>0.99</v>
      </c>
      <c r="N23" s="46">
        <v>1.05</v>
      </c>
      <c r="P23" s="1">
        <f>MIN(C24:F24,N24)</f>
        <v>1.04</v>
      </c>
      <c r="Q23" s="1">
        <f>MAX(C24:F24,N24)</f>
        <v>1.1100000000000001</v>
      </c>
    </row>
    <row r="24" spans="1:17" ht="15.75" thickBot="1" x14ac:dyDescent="0.3">
      <c r="A24" s="51"/>
      <c r="B24" s="27" t="s">
        <v>4</v>
      </c>
      <c r="C24" s="42">
        <v>1.1000000000000001</v>
      </c>
      <c r="D24" s="42">
        <v>1.1100000000000001</v>
      </c>
      <c r="E24" s="42">
        <v>1.08</v>
      </c>
      <c r="F24" s="42">
        <v>1.04</v>
      </c>
      <c r="G24" s="42">
        <v>0.98</v>
      </c>
      <c r="H24" s="42">
        <v>0.93</v>
      </c>
      <c r="I24" s="42">
        <v>0.91</v>
      </c>
      <c r="J24" s="42">
        <v>0.89</v>
      </c>
      <c r="K24" s="42">
        <v>0.92</v>
      </c>
      <c r="L24" s="42">
        <v>0.96</v>
      </c>
      <c r="M24" s="42">
        <v>1.01</v>
      </c>
      <c r="N24" s="47">
        <v>1.08</v>
      </c>
      <c r="P24" s="1">
        <f>MIN(G24:L24)</f>
        <v>0.89</v>
      </c>
      <c r="Q24" s="1">
        <f>MAX(G24:L24)</f>
        <v>0.98</v>
      </c>
    </row>
    <row r="25" spans="1:17" ht="15.75" thickBot="1" x14ac:dyDescent="0.3">
      <c r="A25" s="51"/>
      <c r="B25" s="28" t="s">
        <v>5</v>
      </c>
      <c r="C25" s="39">
        <v>1.1299999999999999</v>
      </c>
      <c r="D25" s="39">
        <v>1.1499999999999999</v>
      </c>
      <c r="E25" s="39">
        <v>1.1100000000000001</v>
      </c>
      <c r="F25" s="39">
        <v>1.06</v>
      </c>
      <c r="G25" s="39">
        <v>0.99</v>
      </c>
      <c r="H25" s="39">
        <v>0.96</v>
      </c>
      <c r="I25" s="39">
        <v>0.93</v>
      </c>
      <c r="J25" s="39">
        <v>0.92</v>
      </c>
      <c r="K25" s="39">
        <v>0.94</v>
      </c>
      <c r="L25" s="39">
        <v>0.97</v>
      </c>
      <c r="M25" s="39">
        <v>1.02</v>
      </c>
      <c r="N25" s="46">
        <v>1.1000000000000001</v>
      </c>
    </row>
    <row r="26" spans="1:17" ht="15.75" thickBot="1" x14ac:dyDescent="0.3">
      <c r="A26" s="52"/>
      <c r="B26" s="27" t="s">
        <v>7</v>
      </c>
      <c r="C26" s="44">
        <v>4.0000000000000003E-15</v>
      </c>
      <c r="D26" s="44">
        <v>4.0000000000000003E-15</v>
      </c>
      <c r="E26" s="44">
        <v>4.0000000000000003E-15</v>
      </c>
      <c r="F26" s="44">
        <v>7.6000000000000004E-15</v>
      </c>
      <c r="G26" s="44">
        <v>2.4E-9</v>
      </c>
      <c r="H26" s="44">
        <v>4.2999999999999997E-15</v>
      </c>
      <c r="I26" s="44">
        <v>4.0000000000000003E-15</v>
      </c>
      <c r="J26" s="44">
        <v>4.0000000000000003E-15</v>
      </c>
      <c r="K26" s="44">
        <v>4.0000000000000003E-15</v>
      </c>
      <c r="L26" s="44">
        <v>4.3E-14</v>
      </c>
      <c r="M26" s="44">
        <v>1.4999999999999999E-2</v>
      </c>
      <c r="N26" s="45">
        <v>4.7999999999999999E-15</v>
      </c>
    </row>
    <row r="27" spans="1:17" ht="15.75" thickBot="1" x14ac:dyDescent="0.3">
      <c r="A27" s="48"/>
      <c r="B27" s="36" t="s">
        <v>1</v>
      </c>
      <c r="C27" s="36" t="s">
        <v>8</v>
      </c>
      <c r="D27" s="36" t="s">
        <v>9</v>
      </c>
      <c r="E27" s="36" t="s">
        <v>10</v>
      </c>
      <c r="F27" s="36" t="s">
        <v>11</v>
      </c>
      <c r="G27" s="36" t="s">
        <v>12</v>
      </c>
      <c r="H27" s="36" t="s">
        <v>13</v>
      </c>
      <c r="I27" s="36" t="s">
        <v>14</v>
      </c>
      <c r="J27" s="36" t="s">
        <v>15</v>
      </c>
      <c r="K27" s="36" t="s">
        <v>16</v>
      </c>
      <c r="L27" s="36" t="s">
        <v>17</v>
      </c>
      <c r="M27" s="36" t="s">
        <v>18</v>
      </c>
      <c r="N27" s="37" t="s">
        <v>19</v>
      </c>
    </row>
    <row r="28" spans="1:17" ht="15.75" thickBot="1" x14ac:dyDescent="0.3">
      <c r="A28" s="54" t="s">
        <v>25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5"/>
    </row>
    <row r="29" spans="1:17" ht="15.75" thickBot="1" x14ac:dyDescent="0.3">
      <c r="A29" s="53" t="s">
        <v>39</v>
      </c>
      <c r="B29" s="28" t="s">
        <v>3</v>
      </c>
      <c r="C29" s="39">
        <v>0.87</v>
      </c>
      <c r="D29" s="39">
        <v>0.82</v>
      </c>
      <c r="E29" s="39">
        <v>0.81</v>
      </c>
      <c r="F29" s="39">
        <v>0.8</v>
      </c>
      <c r="G29" s="39">
        <v>0.95</v>
      </c>
      <c r="H29" s="39">
        <v>1.02</v>
      </c>
      <c r="I29" s="39">
        <v>1.05</v>
      </c>
      <c r="J29" s="39">
        <v>1.05</v>
      </c>
      <c r="K29" s="39">
        <v>1.04</v>
      </c>
      <c r="L29" s="39">
        <v>1.08</v>
      </c>
      <c r="M29" s="39">
        <v>1.02</v>
      </c>
      <c r="N29" s="46">
        <v>0.94</v>
      </c>
      <c r="P29" s="1">
        <f>MIN(H30:M30)</f>
        <v>1.1100000000000001</v>
      </c>
      <c r="Q29" s="1">
        <f>MAX(H30:L30,M30)</f>
        <v>1.18</v>
      </c>
    </row>
    <row r="30" spans="1:17" ht="15.75" thickBot="1" x14ac:dyDescent="0.3">
      <c r="A30" s="51"/>
      <c r="B30" s="27" t="s">
        <v>4</v>
      </c>
      <c r="C30" s="42">
        <v>0.97</v>
      </c>
      <c r="D30" s="42">
        <v>0.88</v>
      </c>
      <c r="E30" s="42">
        <v>0.88</v>
      </c>
      <c r="F30" s="42">
        <v>0.85</v>
      </c>
      <c r="G30" s="42">
        <v>1.01</v>
      </c>
      <c r="H30" s="42">
        <v>1.1100000000000001</v>
      </c>
      <c r="I30" s="42">
        <v>1.1399999999999999</v>
      </c>
      <c r="J30" s="42">
        <v>1.1399999999999999</v>
      </c>
      <c r="K30" s="42">
        <v>1.18</v>
      </c>
      <c r="L30" s="42">
        <v>1.17</v>
      </c>
      <c r="M30" s="42">
        <v>1.1200000000000001</v>
      </c>
      <c r="N30" s="47">
        <v>1</v>
      </c>
      <c r="P30" s="1">
        <f>MIN(D30:F30)</f>
        <v>0.85</v>
      </c>
      <c r="Q30" s="1">
        <f>MAX(D30:F30)</f>
        <v>0.88</v>
      </c>
    </row>
    <row r="31" spans="1:17" ht="15.75" thickBot="1" x14ac:dyDescent="0.3">
      <c r="A31" s="51"/>
      <c r="B31" s="28" t="s">
        <v>5</v>
      </c>
      <c r="C31" s="39">
        <v>1.1000000000000001</v>
      </c>
      <c r="D31" s="39">
        <v>1.03</v>
      </c>
      <c r="E31" s="39">
        <v>0.96</v>
      </c>
      <c r="F31" s="39">
        <v>0.93</v>
      </c>
      <c r="G31" s="39">
        <v>1.1000000000000001</v>
      </c>
      <c r="H31" s="39">
        <v>1.21</v>
      </c>
      <c r="I31" s="39">
        <v>1.23</v>
      </c>
      <c r="J31" s="39">
        <v>1.28</v>
      </c>
      <c r="K31" s="39">
        <v>1.28</v>
      </c>
      <c r="L31" s="39">
        <v>1.31</v>
      </c>
      <c r="M31" s="39">
        <v>1.29</v>
      </c>
      <c r="N31" s="46">
        <v>1.1100000000000001</v>
      </c>
    </row>
    <row r="32" spans="1:17" ht="15.75" thickBot="1" x14ac:dyDescent="0.3">
      <c r="A32" s="52"/>
      <c r="B32" s="27" t="s">
        <v>7</v>
      </c>
      <c r="C32" s="44">
        <v>0.3</v>
      </c>
      <c r="D32" s="44">
        <v>6.4000000000000005E-4</v>
      </c>
      <c r="E32" s="44">
        <v>5.6000000000000004E-7</v>
      </c>
      <c r="F32" s="44">
        <v>1.4000000000000001E-10</v>
      </c>
      <c r="G32" s="44">
        <v>0.11</v>
      </c>
      <c r="H32" s="44">
        <v>2.2000000000000001E-7</v>
      </c>
      <c r="I32" s="44">
        <v>1.1000000000000001E-6</v>
      </c>
      <c r="J32" s="44">
        <v>8.3999999999999998E-8</v>
      </c>
      <c r="K32" s="44">
        <v>1.1999999999999999E-7</v>
      </c>
      <c r="L32" s="44">
        <v>3.7E-9</v>
      </c>
      <c r="M32" s="44">
        <v>8.2000000000000006E-9</v>
      </c>
      <c r="N32" s="45">
        <v>0.17</v>
      </c>
    </row>
    <row r="33" spans="1:17" ht="15.75" thickBot="1" x14ac:dyDescent="0.3">
      <c r="A33" s="51" t="s">
        <v>40</v>
      </c>
      <c r="B33" s="28" t="s">
        <v>3</v>
      </c>
      <c r="C33" s="39">
        <v>0.72</v>
      </c>
      <c r="D33" s="39">
        <v>0.71</v>
      </c>
      <c r="E33" s="39">
        <v>0.68</v>
      </c>
      <c r="F33" s="39">
        <v>0.64</v>
      </c>
      <c r="G33" s="39">
        <v>0.85</v>
      </c>
      <c r="H33" s="39">
        <v>1.01</v>
      </c>
      <c r="I33" s="39">
        <v>1.08</v>
      </c>
      <c r="J33" s="39">
        <v>1.1000000000000001</v>
      </c>
      <c r="K33" s="39">
        <v>1.0900000000000001</v>
      </c>
      <c r="L33" s="39">
        <v>1.1100000000000001</v>
      </c>
      <c r="M33" s="39">
        <v>0.92</v>
      </c>
      <c r="N33" s="46">
        <v>0.85</v>
      </c>
      <c r="P33" s="1">
        <f>MIN(H34:L34)</f>
        <v>1.1499999999999999</v>
      </c>
      <c r="Q33" s="1">
        <f>MAX(H34:K34,L34)</f>
        <v>1.28</v>
      </c>
    </row>
    <row r="34" spans="1:17" ht="15.75" thickBot="1" x14ac:dyDescent="0.3">
      <c r="A34" s="51"/>
      <c r="B34" s="27" t="s">
        <v>4</v>
      </c>
      <c r="C34" s="42">
        <v>0.82</v>
      </c>
      <c r="D34" s="42">
        <v>0.81</v>
      </c>
      <c r="E34" s="42">
        <v>0.75</v>
      </c>
      <c r="F34" s="42">
        <v>0.72</v>
      </c>
      <c r="G34" s="42">
        <v>0.93</v>
      </c>
      <c r="H34" s="42">
        <v>1.1499999999999999</v>
      </c>
      <c r="I34" s="42">
        <v>1.28</v>
      </c>
      <c r="J34" s="42">
        <v>1.26</v>
      </c>
      <c r="K34" s="42">
        <v>1.25</v>
      </c>
      <c r="L34" s="42">
        <v>1.22</v>
      </c>
      <c r="M34" s="42">
        <v>0.99</v>
      </c>
      <c r="N34" s="47">
        <v>0.92</v>
      </c>
      <c r="P34" s="1">
        <f>MIN(C34:G34)</f>
        <v>0.72</v>
      </c>
      <c r="Q34" s="1">
        <f>MAX(C34:G34)</f>
        <v>0.93</v>
      </c>
    </row>
    <row r="35" spans="1:17" ht="15.75" thickBot="1" x14ac:dyDescent="0.3">
      <c r="A35" s="51"/>
      <c r="B35" s="28" t="s">
        <v>5</v>
      </c>
      <c r="C35" s="39">
        <v>1.01</v>
      </c>
      <c r="D35" s="39">
        <v>0.96</v>
      </c>
      <c r="E35" s="39">
        <v>0.87</v>
      </c>
      <c r="F35" s="39">
        <v>0.81</v>
      </c>
      <c r="G35" s="39">
        <v>1.02</v>
      </c>
      <c r="H35" s="39">
        <v>1.26</v>
      </c>
      <c r="I35" s="39">
        <v>1.45</v>
      </c>
      <c r="J35" s="39">
        <v>1.51</v>
      </c>
      <c r="K35" s="39">
        <v>1.5</v>
      </c>
      <c r="L35" s="39">
        <v>1.31</v>
      </c>
      <c r="M35" s="39">
        <v>1.1399999999999999</v>
      </c>
      <c r="N35" s="46">
        <v>1.1299999999999999</v>
      </c>
    </row>
    <row r="36" spans="1:17" ht="15.75" thickBot="1" x14ac:dyDescent="0.3">
      <c r="A36" s="52"/>
      <c r="B36" s="27" t="s">
        <v>7</v>
      </c>
      <c r="C36" s="44">
        <v>2.5999999999999998E-5</v>
      </c>
      <c r="D36" s="44">
        <v>6.8999999999999996E-8</v>
      </c>
      <c r="E36" s="44">
        <v>3.7E-9</v>
      </c>
      <c r="F36" s="44">
        <v>2.1999999999999999E-12</v>
      </c>
      <c r="G36" s="44">
        <v>3.8000000000000002E-4</v>
      </c>
      <c r="H36" s="44">
        <v>1.6999999999999999E-7</v>
      </c>
      <c r="I36" s="44">
        <v>1.2E-9</v>
      </c>
      <c r="J36" s="44">
        <v>7.2999999999999996E-10</v>
      </c>
      <c r="K36" s="44">
        <v>1E-8</v>
      </c>
      <c r="L36" s="44">
        <v>1.2E-10</v>
      </c>
      <c r="M36" s="44">
        <v>0.75</v>
      </c>
      <c r="N36" s="45">
        <v>0.12</v>
      </c>
    </row>
    <row r="37" spans="1:17" ht="15.75" thickBot="1" x14ac:dyDescent="0.3">
      <c r="A37" s="53" t="s">
        <v>41</v>
      </c>
      <c r="B37" s="28" t="s">
        <v>3</v>
      </c>
      <c r="C37" s="39">
        <v>0.4</v>
      </c>
      <c r="D37" s="39">
        <v>0.31</v>
      </c>
      <c r="E37" s="39">
        <v>0.36</v>
      </c>
      <c r="F37" s="39">
        <v>0.45</v>
      </c>
      <c r="G37" s="39">
        <v>0.98</v>
      </c>
      <c r="H37" s="39">
        <v>1.54</v>
      </c>
      <c r="I37" s="39">
        <v>1.43</v>
      </c>
      <c r="J37" s="39">
        <v>1.56</v>
      </c>
      <c r="K37" s="39">
        <v>1.44</v>
      </c>
      <c r="L37" s="39">
        <v>1.19</v>
      </c>
      <c r="M37" s="39">
        <v>0.85</v>
      </c>
      <c r="N37" s="46">
        <v>0.57999999999999996</v>
      </c>
      <c r="P37" s="1">
        <f>MIN(G38:L38)</f>
        <v>1.24</v>
      </c>
      <c r="Q37" s="1">
        <f>MAX(G38:K38,L38)</f>
        <v>1.93</v>
      </c>
    </row>
    <row r="38" spans="1:17" ht="15.75" thickBot="1" x14ac:dyDescent="0.3">
      <c r="A38" s="51"/>
      <c r="B38" s="27" t="s">
        <v>4</v>
      </c>
      <c r="C38" s="42">
        <v>0.54</v>
      </c>
      <c r="D38" s="42">
        <v>0.4</v>
      </c>
      <c r="E38" s="42">
        <v>0.48</v>
      </c>
      <c r="F38" s="42">
        <v>0.66</v>
      </c>
      <c r="G38" s="42">
        <v>1.24</v>
      </c>
      <c r="H38" s="42">
        <v>1.78</v>
      </c>
      <c r="I38" s="42">
        <v>1.77</v>
      </c>
      <c r="J38" s="42">
        <v>1.93</v>
      </c>
      <c r="K38" s="42">
        <v>1.7</v>
      </c>
      <c r="L38" s="42">
        <v>1.46</v>
      </c>
      <c r="M38" s="42">
        <v>1.05</v>
      </c>
      <c r="N38" s="47">
        <v>0.69</v>
      </c>
      <c r="P38" s="1">
        <f>MIN(C38:F38,N38)</f>
        <v>0.4</v>
      </c>
      <c r="Q38" s="1">
        <f>MAX(C38:F38,N38)</f>
        <v>0.69</v>
      </c>
    </row>
    <row r="39" spans="1:17" ht="15.75" thickBot="1" x14ac:dyDescent="0.3">
      <c r="A39" s="51"/>
      <c r="B39" s="28" t="s">
        <v>5</v>
      </c>
      <c r="C39" s="39">
        <v>0.67</v>
      </c>
      <c r="D39" s="39">
        <v>0.55000000000000004</v>
      </c>
      <c r="E39" s="39">
        <v>0.56999999999999995</v>
      </c>
      <c r="F39" s="39">
        <v>0.77</v>
      </c>
      <c r="G39" s="39">
        <v>1.4</v>
      </c>
      <c r="H39" s="39">
        <v>2.19</v>
      </c>
      <c r="I39" s="39">
        <v>2.14</v>
      </c>
      <c r="J39" s="39">
        <v>2.2400000000000002</v>
      </c>
      <c r="K39" s="39">
        <v>2.27</v>
      </c>
      <c r="L39" s="39">
        <v>1.74</v>
      </c>
      <c r="M39" s="39">
        <v>1.33</v>
      </c>
      <c r="N39" s="46">
        <v>0.84</v>
      </c>
    </row>
    <row r="40" spans="1:17" ht="15.75" thickBot="1" x14ac:dyDescent="0.3">
      <c r="A40" s="52"/>
      <c r="B40" s="27" t="s">
        <v>7</v>
      </c>
      <c r="C40" s="44">
        <v>3.5999999999999998E-11</v>
      </c>
      <c r="D40" s="44">
        <v>2.7E-11</v>
      </c>
      <c r="E40" s="44">
        <v>2.5999999999999998E-12</v>
      </c>
      <c r="F40" s="44">
        <v>2.0999999999999999E-11</v>
      </c>
      <c r="G40" s="44">
        <v>1.2E-5</v>
      </c>
      <c r="H40" s="44">
        <v>2.0999999999999999E-12</v>
      </c>
      <c r="I40" s="44">
        <v>2.0999999999999999E-12</v>
      </c>
      <c r="J40" s="44">
        <v>1.5000000000000001E-12</v>
      </c>
      <c r="K40" s="44">
        <v>2.4999999999999998E-12</v>
      </c>
      <c r="L40" s="44">
        <v>1.2E-9</v>
      </c>
      <c r="M40" s="44">
        <v>7.8E-2</v>
      </c>
      <c r="N40" s="45">
        <v>9.2000000000000003E-8</v>
      </c>
    </row>
    <row r="41" spans="1:17" ht="15.75" thickBot="1" x14ac:dyDescent="0.3">
      <c r="A41" s="53" t="s">
        <v>42</v>
      </c>
      <c r="B41" s="28" t="s">
        <v>3</v>
      </c>
      <c r="C41" s="39">
        <v>0.64</v>
      </c>
      <c r="D41" s="39">
        <v>0.74</v>
      </c>
      <c r="E41" s="39">
        <v>0.77</v>
      </c>
      <c r="F41" s="39">
        <v>0.85</v>
      </c>
      <c r="G41" s="39">
        <v>0.97</v>
      </c>
      <c r="H41" s="39">
        <v>1</v>
      </c>
      <c r="I41" s="39">
        <v>1.1200000000000001</v>
      </c>
      <c r="J41" s="39">
        <v>1.1499999999999999</v>
      </c>
      <c r="K41" s="39">
        <v>1.1000000000000001</v>
      </c>
      <c r="L41" s="39">
        <v>0.93</v>
      </c>
      <c r="M41" s="39">
        <v>0.77</v>
      </c>
      <c r="N41" s="46">
        <v>0.73</v>
      </c>
      <c r="P41" s="1">
        <f>MIN(H42:L42)</f>
        <v>1.04</v>
      </c>
      <c r="Q41" s="1">
        <f>MAX(H42:K42,L42)</f>
        <v>1.24</v>
      </c>
    </row>
    <row r="42" spans="1:17" ht="15.75" thickBot="1" x14ac:dyDescent="0.3">
      <c r="A42" s="51"/>
      <c r="B42" s="27" t="s">
        <v>4</v>
      </c>
      <c r="C42" s="42">
        <v>0.71</v>
      </c>
      <c r="D42" s="42">
        <v>0.82</v>
      </c>
      <c r="E42" s="42">
        <v>0.83</v>
      </c>
      <c r="F42" s="42">
        <v>0.89</v>
      </c>
      <c r="G42" s="42">
        <v>1.02</v>
      </c>
      <c r="H42" s="42">
        <v>1.04</v>
      </c>
      <c r="I42" s="42">
        <v>1.2</v>
      </c>
      <c r="J42" s="42">
        <v>1.24</v>
      </c>
      <c r="K42" s="42">
        <v>1.2</v>
      </c>
      <c r="L42" s="42">
        <v>1.08</v>
      </c>
      <c r="M42" s="42">
        <v>0.86</v>
      </c>
      <c r="N42" s="47">
        <v>0.79</v>
      </c>
      <c r="P42" s="1">
        <f>MIN(C42:F42,M42:N42)</f>
        <v>0.71</v>
      </c>
      <c r="Q42" s="1">
        <f>MAX(C42:F42,M42:N42)</f>
        <v>0.89</v>
      </c>
    </row>
    <row r="43" spans="1:17" ht="15.75" thickBot="1" x14ac:dyDescent="0.3">
      <c r="A43" s="51"/>
      <c r="B43" s="28" t="s">
        <v>5</v>
      </c>
      <c r="C43" s="39">
        <v>0.78</v>
      </c>
      <c r="D43" s="39">
        <v>0.89</v>
      </c>
      <c r="E43" s="39">
        <v>0.9</v>
      </c>
      <c r="F43" s="39">
        <v>0.93</v>
      </c>
      <c r="G43" s="39">
        <v>1.05</v>
      </c>
      <c r="H43" s="39">
        <v>1.1200000000000001</v>
      </c>
      <c r="I43" s="39">
        <v>1.29</v>
      </c>
      <c r="J43" s="39">
        <v>1.39</v>
      </c>
      <c r="K43" s="39">
        <v>1.35</v>
      </c>
      <c r="L43" s="39">
        <v>1.1499999999999999</v>
      </c>
      <c r="M43" s="39">
        <v>0.91</v>
      </c>
      <c r="N43" s="46">
        <v>0.84</v>
      </c>
    </row>
    <row r="44" spans="1:17" ht="15.75" thickBot="1" x14ac:dyDescent="0.3">
      <c r="A44" s="52"/>
      <c r="B44" s="27" t="s">
        <v>7</v>
      </c>
      <c r="C44" s="44">
        <v>1.5000000000000001E-12</v>
      </c>
      <c r="D44" s="44">
        <v>5.3999999999999996E-12</v>
      </c>
      <c r="E44" s="44">
        <v>1.9E-12</v>
      </c>
      <c r="F44" s="44">
        <v>2.4999999999999998E-12</v>
      </c>
      <c r="G44" s="44">
        <v>6.0999999999999999E-2</v>
      </c>
      <c r="H44" s="44">
        <v>7.6000000000000001E-6</v>
      </c>
      <c r="I44" s="44">
        <v>9.9999999999999998E-13</v>
      </c>
      <c r="J44" s="44">
        <v>1.4000000000000001E-12</v>
      </c>
      <c r="K44" s="44">
        <v>9.4999999999999995E-12</v>
      </c>
      <c r="L44" s="44">
        <v>3.5000000000000001E-3</v>
      </c>
      <c r="M44" s="44">
        <v>3.8999999999999999E-12</v>
      </c>
      <c r="N44" s="45">
        <v>1.1999999999999999E-12</v>
      </c>
    </row>
    <row r="45" spans="1:17" ht="15.75" thickBot="1" x14ac:dyDescent="0.3">
      <c r="A45" s="53" t="s">
        <v>45</v>
      </c>
      <c r="B45" s="28" t="s">
        <v>3</v>
      </c>
      <c r="C45" s="39">
        <v>-0.21387720469446</v>
      </c>
      <c r="D45" s="39">
        <v>-0.120969588744589</v>
      </c>
      <c r="E45" s="39">
        <v>-8.0167045454545505E-2</v>
      </c>
      <c r="F45" s="39">
        <v>-3.12877056858911E-2</v>
      </c>
      <c r="G45" s="39">
        <v>3.3108987603305801E-2</v>
      </c>
      <c r="H45" s="39">
        <v>4.3344118779483701E-2</v>
      </c>
      <c r="I45" s="39">
        <v>7.8820435053297999E-2</v>
      </c>
      <c r="J45" s="39">
        <v>7.9167622966114196E-2</v>
      </c>
      <c r="K45" s="39">
        <v>5.7710861242155E-2</v>
      </c>
      <c r="L45" s="39">
        <v>-2.3808209647495401E-2</v>
      </c>
      <c r="M45" s="39">
        <v>-0.165743006603468</v>
      </c>
      <c r="N45" s="46">
        <v>-0.21432224025974</v>
      </c>
      <c r="P45" s="1">
        <f>MIN(G46:L46)</f>
        <v>1.70173160173159E-2</v>
      </c>
      <c r="Q45" s="1">
        <f>MAX(G46:K46,L46)</f>
        <v>0.13510873190429601</v>
      </c>
    </row>
    <row r="46" spans="1:17" ht="15.75" thickBot="1" x14ac:dyDescent="0.3">
      <c r="A46" s="51"/>
      <c r="B46" s="27" t="s">
        <v>4</v>
      </c>
      <c r="C46" s="42">
        <v>-0.14458253525666701</v>
      </c>
      <c r="D46" s="42">
        <v>-7.42278134793663E-2</v>
      </c>
      <c r="E46" s="42">
        <v>-2.8412749937260701E-2</v>
      </c>
      <c r="F46" s="42">
        <v>4.1011812524597204E-3</v>
      </c>
      <c r="G46" s="42">
        <v>5.6187868592759899E-2</v>
      </c>
      <c r="H46" s="42">
        <v>7.3449889520202094E-2</v>
      </c>
      <c r="I46" s="42">
        <v>0.13510873190429601</v>
      </c>
      <c r="J46" s="42">
        <v>0.123775992727664</v>
      </c>
      <c r="K46" s="42">
        <v>9.8207259881040398E-2</v>
      </c>
      <c r="L46" s="42">
        <v>1.70173160173159E-2</v>
      </c>
      <c r="M46" s="42">
        <v>-0.119525866775867</v>
      </c>
      <c r="N46" s="47">
        <v>-0.16155798260381601</v>
      </c>
      <c r="P46" s="1">
        <f>MIN(D46:F46)</f>
        <v>-7.42278134793663E-2</v>
      </c>
      <c r="Q46" s="1">
        <f>MAX(C46:E46,M46:N46)</f>
        <v>-2.8412749937260701E-2</v>
      </c>
    </row>
    <row r="47" spans="1:17" ht="15.75" thickBot="1" x14ac:dyDescent="0.3">
      <c r="A47" s="51"/>
      <c r="B47" s="28" t="s">
        <v>5</v>
      </c>
      <c r="C47" s="39">
        <v>-8.9157763583035302E-2</v>
      </c>
      <c r="D47" s="39">
        <v>-3.7220084366391099E-2</v>
      </c>
      <c r="E47" s="39">
        <v>4.2709551355950602E-3</v>
      </c>
      <c r="F47" s="39">
        <v>5.8169135693307901E-2</v>
      </c>
      <c r="G47" s="39">
        <v>9.2977124505928793E-2</v>
      </c>
      <c r="H47" s="39">
        <v>0.116955980940356</v>
      </c>
      <c r="I47" s="39">
        <v>0.17452411616161601</v>
      </c>
      <c r="J47" s="39">
        <v>0.209458886937927</v>
      </c>
      <c r="K47" s="39">
        <v>0.169286439732143</v>
      </c>
      <c r="L47" s="39">
        <v>5.3553954175905402E-2</v>
      </c>
      <c r="M47" s="39">
        <v>-7.7495136019283706E-2</v>
      </c>
      <c r="N47" s="46">
        <v>-0.131697622053872</v>
      </c>
    </row>
    <row r="48" spans="1:17" ht="15.75" thickBot="1" x14ac:dyDescent="0.3">
      <c r="A48" s="52"/>
      <c r="B48" s="27" t="s">
        <v>7</v>
      </c>
      <c r="C48" s="44">
        <v>2.9933947876071401E-12</v>
      </c>
      <c r="D48" s="44">
        <v>2.73312775667145E-9</v>
      </c>
      <c r="E48" s="44">
        <v>5.8575402563254698E-5</v>
      </c>
      <c r="F48" s="44">
        <v>0.23323295563386101</v>
      </c>
      <c r="G48" s="44">
        <v>1.28638611451188E-11</v>
      </c>
      <c r="H48" s="44">
        <v>7.7253407472673104E-11</v>
      </c>
      <c r="I48" s="44">
        <v>3.91471807312767E-12</v>
      </c>
      <c r="J48" s="44">
        <v>3.7438738660489002E-12</v>
      </c>
      <c r="K48" s="44">
        <v>2.3566166928873201E-11</v>
      </c>
      <c r="L48" s="44">
        <v>8.9993038566327996E-3</v>
      </c>
      <c r="M48" s="44">
        <v>4.4743919821850199E-12</v>
      </c>
      <c r="N48" s="45">
        <v>1.32677749284679E-12</v>
      </c>
    </row>
    <row r="49" spans="1:17" ht="15.75" thickBot="1" x14ac:dyDescent="0.3">
      <c r="A49" s="53" t="s">
        <v>43</v>
      </c>
      <c r="B49" s="28" t="s">
        <v>3</v>
      </c>
      <c r="C49" s="39">
        <v>0.78</v>
      </c>
      <c r="D49" s="39">
        <v>0.82</v>
      </c>
      <c r="E49" s="39">
        <v>0.82</v>
      </c>
      <c r="F49" s="39">
        <v>0.85</v>
      </c>
      <c r="G49" s="39">
        <v>0.95</v>
      </c>
      <c r="H49" s="39">
        <v>0.99</v>
      </c>
      <c r="I49" s="39">
        <v>1.06</v>
      </c>
      <c r="J49" s="39">
        <v>1.08</v>
      </c>
      <c r="K49" s="39">
        <v>1.07</v>
      </c>
      <c r="L49" s="39">
        <v>0.96</v>
      </c>
      <c r="M49" s="39">
        <v>0.83</v>
      </c>
      <c r="N49" s="46">
        <v>0.83</v>
      </c>
      <c r="P49" s="1">
        <f>MIN(H50:L50)</f>
        <v>1.03</v>
      </c>
      <c r="Q49" s="1">
        <f>MAX(H50:K50,L50)</f>
        <v>1.17</v>
      </c>
    </row>
    <row r="50" spans="1:17" ht="15.75" thickBot="1" x14ac:dyDescent="0.3">
      <c r="A50" s="51"/>
      <c r="B50" s="27" t="s">
        <v>4</v>
      </c>
      <c r="C50" s="42">
        <v>0.83</v>
      </c>
      <c r="D50" s="42">
        <v>0.87</v>
      </c>
      <c r="E50" s="42">
        <v>0.87</v>
      </c>
      <c r="F50" s="42">
        <v>0.9</v>
      </c>
      <c r="G50" s="42">
        <v>0.97</v>
      </c>
      <c r="H50" s="42">
        <v>1.03</v>
      </c>
      <c r="I50" s="42">
        <v>1.1299999999999999</v>
      </c>
      <c r="J50" s="42">
        <v>1.17</v>
      </c>
      <c r="K50" s="42">
        <v>1.1499999999999999</v>
      </c>
      <c r="L50" s="42">
        <v>1.07</v>
      </c>
      <c r="M50" s="42">
        <v>0.9</v>
      </c>
      <c r="N50" s="47">
        <v>0.86</v>
      </c>
      <c r="P50" s="1">
        <f>MIN(C50:G50,M50:N50)</f>
        <v>0.83</v>
      </c>
      <c r="Q50" s="1">
        <f>MAX(C50:G50,M50:N50)</f>
        <v>0.97</v>
      </c>
    </row>
    <row r="51" spans="1:17" ht="15.75" thickBot="1" x14ac:dyDescent="0.3">
      <c r="A51" s="51"/>
      <c r="B51" s="28" t="s">
        <v>5</v>
      </c>
      <c r="C51" s="39">
        <v>0.89</v>
      </c>
      <c r="D51" s="39">
        <v>0.92</v>
      </c>
      <c r="E51" s="39">
        <v>0.92</v>
      </c>
      <c r="F51" s="39">
        <v>0.93</v>
      </c>
      <c r="G51" s="39">
        <v>1</v>
      </c>
      <c r="H51" s="39">
        <v>1.07</v>
      </c>
      <c r="I51" s="39">
        <v>1.2</v>
      </c>
      <c r="J51" s="39">
        <v>1.3</v>
      </c>
      <c r="K51" s="39">
        <v>1.27</v>
      </c>
      <c r="L51" s="39">
        <v>1.1299999999999999</v>
      </c>
      <c r="M51" s="39">
        <v>0.98</v>
      </c>
      <c r="N51" s="46">
        <v>0.92</v>
      </c>
    </row>
    <row r="52" spans="1:17" ht="15.75" thickBot="1" x14ac:dyDescent="0.3">
      <c r="A52" s="52"/>
      <c r="B52" s="27" t="s">
        <v>7</v>
      </c>
      <c r="C52" s="44">
        <v>6.4000000000000002E-12</v>
      </c>
      <c r="D52" s="44">
        <v>2.4E-10</v>
      </c>
      <c r="E52" s="44">
        <v>1.5E-11</v>
      </c>
      <c r="F52" s="44">
        <v>1.1999999999999999E-12</v>
      </c>
      <c r="G52" s="44">
        <v>6.2000000000000003E-5</v>
      </c>
      <c r="H52" s="44">
        <v>8.8999999999999995E-4</v>
      </c>
      <c r="I52" s="44">
        <v>3.6E-12</v>
      </c>
      <c r="J52" s="44">
        <v>3.6E-12</v>
      </c>
      <c r="K52" s="44">
        <v>5.6000000000000004E-12</v>
      </c>
      <c r="L52" s="44">
        <v>1.1999999999999999E-3</v>
      </c>
      <c r="M52" s="44">
        <v>1.0999999999999999E-9</v>
      </c>
      <c r="N52" s="45">
        <v>2.0999999999999999E-11</v>
      </c>
    </row>
    <row r="53" spans="1:17" ht="15.75" thickBot="1" x14ac:dyDescent="0.3">
      <c r="A53" s="51" t="s">
        <v>44</v>
      </c>
      <c r="B53" s="28" t="s">
        <v>3</v>
      </c>
      <c r="C53" s="38">
        <v>-5.1176276806526806</v>
      </c>
      <c r="D53" s="38">
        <v>-4.8423461174242428</v>
      </c>
      <c r="E53" s="38">
        <v>-3.2415900994838496</v>
      </c>
      <c r="F53" s="38">
        <v>-1.5486747016947424</v>
      </c>
      <c r="G53" s="38">
        <v>0.71149208885732329</v>
      </c>
      <c r="H53" s="38">
        <v>2.4800931637806638</v>
      </c>
      <c r="I53" s="38">
        <v>3.9575765329690635</v>
      </c>
      <c r="J53" s="38">
        <v>4.3180094748212641</v>
      </c>
      <c r="K53" s="38">
        <v>2.8147071850913314</v>
      </c>
      <c r="L53" s="38">
        <v>0.33745132575757575</v>
      </c>
      <c r="M53" s="38">
        <v>-2.034890637140637</v>
      </c>
      <c r="N53" s="40">
        <v>-4.512266227885581</v>
      </c>
      <c r="P53" s="29">
        <f>MIN(G54:L54)</f>
        <v>0.64067592592592604</v>
      </c>
      <c r="Q53" s="29">
        <f>MAX(G54:K54,L54)</f>
        <v>4.9881924688316737</v>
      </c>
    </row>
    <row r="54" spans="1:17" ht="15.75" thickBot="1" x14ac:dyDescent="0.3">
      <c r="A54" s="51"/>
      <c r="B54" s="27" t="s">
        <v>4</v>
      </c>
      <c r="C54" s="41">
        <v>-4.4622810956727879</v>
      </c>
      <c r="D54" s="41">
        <v>-4.3029885697032437</v>
      </c>
      <c r="E54" s="41">
        <v>-2.8216185277141159</v>
      </c>
      <c r="F54" s="41">
        <v>-0.88392786796536815</v>
      </c>
      <c r="G54" s="41">
        <v>1.2121938498283327</v>
      </c>
      <c r="H54" s="41">
        <v>3.0210574714919227</v>
      </c>
      <c r="I54" s="41">
        <v>4.74623678357987</v>
      </c>
      <c r="J54" s="41">
        <v>4.9881924688316737</v>
      </c>
      <c r="K54" s="41">
        <v>3.2361112157376013</v>
      </c>
      <c r="L54" s="41">
        <v>0.64067592592592604</v>
      </c>
      <c r="M54" s="41">
        <v>-1.6542040700776497</v>
      </c>
      <c r="N54" s="43">
        <v>-3.7696111306756146</v>
      </c>
      <c r="P54" s="29">
        <f>MIN(C54:F54,M54:N54)</f>
        <v>-4.4622810956727879</v>
      </c>
      <c r="Q54" s="29">
        <f>MAX(C54:F54,M54:N54)</f>
        <v>-0.88392786796536815</v>
      </c>
    </row>
    <row r="55" spans="1:17" ht="15.75" thickBot="1" x14ac:dyDescent="0.3">
      <c r="A55" s="51"/>
      <c r="B55" s="28" t="s">
        <v>5</v>
      </c>
      <c r="C55" s="38">
        <v>-3.5904643689643687</v>
      </c>
      <c r="D55" s="38">
        <v>-3.6420598731884057</v>
      </c>
      <c r="E55" s="38">
        <v>-2.5035243960300626</v>
      </c>
      <c r="F55" s="38">
        <v>-0.5766390322071524</v>
      </c>
      <c r="G55" s="38">
        <v>1.6813843650633138</v>
      </c>
      <c r="H55" s="38">
        <v>3.7021150703463199</v>
      </c>
      <c r="I55" s="38">
        <v>5.6567083088538448</v>
      </c>
      <c r="J55" s="38">
        <v>5.8668425093052106</v>
      </c>
      <c r="K55" s="38">
        <v>3.5603383897481118</v>
      </c>
      <c r="L55" s="38">
        <v>0.88864867424242422</v>
      </c>
      <c r="M55" s="38">
        <v>-1.3303225793416538</v>
      </c>
      <c r="N55" s="40">
        <v>-3.2728804320679319</v>
      </c>
    </row>
    <row r="56" spans="1:17" ht="15.75" thickBot="1" x14ac:dyDescent="0.3">
      <c r="A56" s="52"/>
      <c r="B56" s="27" t="s">
        <v>7</v>
      </c>
      <c r="C56" s="44">
        <v>8.3955301549951131E-13</v>
      </c>
      <c r="D56" s="44">
        <v>8.3955301549951131E-13</v>
      </c>
      <c r="E56" s="44">
        <v>8.3955301549951131E-13</v>
      </c>
      <c r="F56" s="44">
        <v>1.0559433616283263E-12</v>
      </c>
      <c r="G56" s="44">
        <v>2.3909586819766588E-12</v>
      </c>
      <c r="H56" s="44">
        <v>8.3955301549951131E-13</v>
      </c>
      <c r="I56" s="44">
        <v>8.3955301549951131E-13</v>
      </c>
      <c r="J56" s="44">
        <v>8.3955301549951131E-13</v>
      </c>
      <c r="K56" s="44">
        <v>8.3955301549951131E-13</v>
      </c>
      <c r="L56" s="44">
        <v>3.2504515953414087E-12</v>
      </c>
      <c r="M56" s="44">
        <v>8.3955301549951131E-13</v>
      </c>
      <c r="N56" s="45">
        <v>8.3955301549951131E-13</v>
      </c>
    </row>
  </sheetData>
  <mergeCells count="15">
    <mergeCell ref="A2:N2"/>
    <mergeCell ref="A28:N28"/>
    <mergeCell ref="A7:A10"/>
    <mergeCell ref="A3:A6"/>
    <mergeCell ref="A11:A14"/>
    <mergeCell ref="A15:A18"/>
    <mergeCell ref="A19:A22"/>
    <mergeCell ref="A23:A26"/>
    <mergeCell ref="A53:A56"/>
    <mergeCell ref="A33:A36"/>
    <mergeCell ref="A29:A32"/>
    <mergeCell ref="A37:A40"/>
    <mergeCell ref="A41:A44"/>
    <mergeCell ref="A45:A48"/>
    <mergeCell ref="A49:A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CC3D-C3B0-4A1D-86E4-D223CEE71D5B}">
  <dimension ref="A1:M20"/>
  <sheetViews>
    <sheetView workbookViewId="0">
      <selection activeCell="B17" sqref="B17:M20"/>
    </sheetView>
  </sheetViews>
  <sheetFormatPr defaultRowHeight="15" x14ac:dyDescent="0.25"/>
  <cols>
    <col min="1" max="1" width="9" bestFit="1" customWidth="1"/>
    <col min="2" max="5" width="8.28515625" bestFit="1" customWidth="1"/>
    <col min="6" max="6" width="12" bestFit="1" customWidth="1"/>
    <col min="7" max="7" width="11.42578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0</v>
      </c>
    </row>
    <row r="2" spans="1:7" x14ac:dyDescent="0.25">
      <c r="A2">
        <v>1</v>
      </c>
      <c r="B2" s="29">
        <v>-5.7480320901320905</v>
      </c>
      <c r="C2" s="29">
        <v>-5.1176276806526806</v>
      </c>
      <c r="D2" s="29">
        <v>-4.4622810956727879</v>
      </c>
      <c r="E2" s="29">
        <v>-3.5904643689643687</v>
      </c>
      <c r="F2" s="2">
        <v>8.3955301549951131E-13</v>
      </c>
    </row>
    <row r="3" spans="1:7" x14ac:dyDescent="0.25">
      <c r="A3">
        <v>2</v>
      </c>
      <c r="B3" s="29">
        <v>-5.3769843771711825</v>
      </c>
      <c r="C3" s="29">
        <v>-4.8423461174242428</v>
      </c>
      <c r="D3" s="29">
        <v>-4.3029885697032437</v>
      </c>
      <c r="E3" s="29">
        <v>-3.6420598731884057</v>
      </c>
      <c r="F3" s="2">
        <v>8.3955301549951131E-13</v>
      </c>
    </row>
    <row r="4" spans="1:7" x14ac:dyDescent="0.25">
      <c r="A4">
        <v>3</v>
      </c>
      <c r="B4" s="29">
        <v>-3.6386650946110768</v>
      </c>
      <c r="C4" s="29">
        <v>-3.2415900994838496</v>
      </c>
      <c r="D4" s="29">
        <v>-2.8216185277141159</v>
      </c>
      <c r="E4" s="29">
        <v>-2.5035243960300626</v>
      </c>
      <c r="F4" s="2">
        <v>8.3955301549951131E-13</v>
      </c>
    </row>
    <row r="5" spans="1:7" x14ac:dyDescent="0.25">
      <c r="A5">
        <v>4</v>
      </c>
      <c r="B5" s="29">
        <v>-2.114669871794872</v>
      </c>
      <c r="C5" s="29">
        <v>-1.5486747016947424</v>
      </c>
      <c r="D5" s="29">
        <v>-0.88392786796536815</v>
      </c>
      <c r="E5" s="29">
        <v>-0.5766390322071524</v>
      </c>
      <c r="F5" s="2">
        <v>1.0559433616283263E-12</v>
      </c>
    </row>
    <row r="6" spans="1:7" x14ac:dyDescent="0.25">
      <c r="A6">
        <v>5</v>
      </c>
      <c r="B6" s="29">
        <v>0.43808824150150694</v>
      </c>
      <c r="C6" s="29">
        <v>0.71149208885732329</v>
      </c>
      <c r="D6" s="29">
        <v>1.2121938498283327</v>
      </c>
      <c r="E6" s="29">
        <v>1.6813843650633138</v>
      </c>
      <c r="F6" s="2">
        <v>2.3909586819766588E-12</v>
      </c>
    </row>
    <row r="7" spans="1:7" x14ac:dyDescent="0.25">
      <c r="A7">
        <v>6</v>
      </c>
      <c r="B7" s="29">
        <v>1.9490769841269842</v>
      </c>
      <c r="C7" s="29">
        <v>2.4800931637806638</v>
      </c>
      <c r="D7" s="29">
        <v>3.0210574714919227</v>
      </c>
      <c r="E7" s="29">
        <v>3.7021150703463199</v>
      </c>
      <c r="F7" s="2">
        <v>8.3955301549951131E-13</v>
      </c>
    </row>
    <row r="8" spans="1:7" x14ac:dyDescent="0.25">
      <c r="A8">
        <v>7</v>
      </c>
      <c r="B8" s="29">
        <v>3.0832665719696974</v>
      </c>
      <c r="C8" s="29">
        <v>3.9575765329690635</v>
      </c>
      <c r="D8" s="29">
        <v>4.74623678357987</v>
      </c>
      <c r="E8" s="29">
        <v>5.6567083088538448</v>
      </c>
      <c r="F8" s="2">
        <v>8.3955301549951131E-13</v>
      </c>
    </row>
    <row r="9" spans="1:7" x14ac:dyDescent="0.25">
      <c r="A9">
        <v>8</v>
      </c>
      <c r="B9" s="29">
        <v>3.3085176767676767</v>
      </c>
      <c r="C9" s="29">
        <v>4.3180094748212641</v>
      </c>
      <c r="D9" s="29">
        <v>4.9881924688316737</v>
      </c>
      <c r="E9" s="29">
        <v>5.8668425093052106</v>
      </c>
      <c r="F9" s="2">
        <v>8.3955301549951131E-13</v>
      </c>
    </row>
    <row r="10" spans="1:7" x14ac:dyDescent="0.25">
      <c r="A10">
        <v>9</v>
      </c>
      <c r="B10" s="29">
        <v>2.485777972027972</v>
      </c>
      <c r="C10" s="29">
        <v>2.8147071850913314</v>
      </c>
      <c r="D10" s="29">
        <v>3.2361112157376013</v>
      </c>
      <c r="E10" s="29">
        <v>3.5603383897481118</v>
      </c>
      <c r="F10" s="2">
        <v>8.3955301549951131E-13</v>
      </c>
    </row>
    <row r="11" spans="1:7" x14ac:dyDescent="0.25">
      <c r="A11">
        <v>10</v>
      </c>
      <c r="B11" s="29">
        <v>0.21178104673104661</v>
      </c>
      <c r="C11" s="29">
        <v>0.33745132575757575</v>
      </c>
      <c r="D11" s="29">
        <v>0.64067592592592604</v>
      </c>
      <c r="E11" s="29">
        <v>0.88864867424242422</v>
      </c>
      <c r="F11" s="2">
        <v>3.2504515953414087E-12</v>
      </c>
    </row>
    <row r="12" spans="1:7" x14ac:dyDescent="0.25">
      <c r="A12">
        <v>11</v>
      </c>
      <c r="B12" s="29">
        <v>-2.6603626023751024</v>
      </c>
      <c r="C12" s="29">
        <v>-2.034890637140637</v>
      </c>
      <c r="D12" s="29">
        <v>-1.6542040700776497</v>
      </c>
      <c r="E12" s="29">
        <v>-1.3303225793416538</v>
      </c>
      <c r="F12" s="2">
        <v>8.3955301549951131E-13</v>
      </c>
    </row>
    <row r="13" spans="1:7" x14ac:dyDescent="0.25">
      <c r="A13">
        <v>12</v>
      </c>
      <c r="B13" s="29">
        <v>-5.3849702404077409</v>
      </c>
      <c r="C13" s="29">
        <v>-4.512266227885581</v>
      </c>
      <c r="D13" s="29">
        <v>-3.7696111306756146</v>
      </c>
      <c r="E13" s="29">
        <v>-3.2728804320679319</v>
      </c>
      <c r="F13" s="2">
        <v>8.3955301549951131E-13</v>
      </c>
    </row>
    <row r="17" spans="2:13" x14ac:dyDescent="0.25">
      <c r="B17" s="30">
        <v>-5.1176276806526806</v>
      </c>
      <c r="C17" s="31">
        <v>-4.8423461174242428</v>
      </c>
      <c r="D17" s="30">
        <v>-3.2415900994838496</v>
      </c>
      <c r="E17" s="31">
        <v>-1.5486747016947424</v>
      </c>
      <c r="F17" s="30">
        <v>0.71149208885732329</v>
      </c>
      <c r="G17" s="31">
        <v>2.4800931637806638</v>
      </c>
      <c r="H17" s="30">
        <v>3.9575765329690635</v>
      </c>
      <c r="I17" s="31">
        <v>4.3180094748212641</v>
      </c>
      <c r="J17" s="30">
        <v>2.8147071850913314</v>
      </c>
      <c r="K17" s="31">
        <v>0.33745132575757575</v>
      </c>
      <c r="L17" s="30">
        <v>-2.034890637140637</v>
      </c>
      <c r="M17" s="31">
        <v>-4.512266227885581</v>
      </c>
    </row>
    <row r="18" spans="2:13" x14ac:dyDescent="0.25">
      <c r="B18" s="30">
        <v>-4.4622810956727879</v>
      </c>
      <c r="C18" s="31">
        <v>-4.3029885697032437</v>
      </c>
      <c r="D18" s="30">
        <v>-2.8216185277141159</v>
      </c>
      <c r="E18" s="31">
        <v>-0.88392786796536815</v>
      </c>
      <c r="F18" s="30">
        <v>1.2121938498283327</v>
      </c>
      <c r="G18" s="31">
        <v>3.0210574714919227</v>
      </c>
      <c r="H18" s="30">
        <v>4.74623678357987</v>
      </c>
      <c r="I18" s="31">
        <v>4.9881924688316737</v>
      </c>
      <c r="J18" s="30">
        <v>3.2361112157376013</v>
      </c>
      <c r="K18" s="31">
        <v>0.64067592592592604</v>
      </c>
      <c r="L18" s="30">
        <v>-1.6542040700776497</v>
      </c>
      <c r="M18" s="31">
        <v>-3.7696111306756146</v>
      </c>
    </row>
    <row r="19" spans="2:13" x14ac:dyDescent="0.25">
      <c r="B19" s="30">
        <v>-3.5904643689643687</v>
      </c>
      <c r="C19" s="31">
        <v>-3.6420598731884057</v>
      </c>
      <c r="D19" s="30">
        <v>-2.5035243960300626</v>
      </c>
      <c r="E19" s="31">
        <v>-0.5766390322071524</v>
      </c>
      <c r="F19" s="30">
        <v>1.6813843650633138</v>
      </c>
      <c r="G19" s="31">
        <v>3.7021150703463199</v>
      </c>
      <c r="H19" s="30">
        <v>5.6567083088538448</v>
      </c>
      <c r="I19" s="31">
        <v>5.8668425093052106</v>
      </c>
      <c r="J19" s="30">
        <v>3.5603383897481118</v>
      </c>
      <c r="K19" s="31">
        <v>0.88864867424242422</v>
      </c>
      <c r="L19" s="30">
        <v>-1.3303225793416538</v>
      </c>
      <c r="M19" s="31">
        <v>-3.2728804320679319</v>
      </c>
    </row>
    <row r="20" spans="2:13" x14ac:dyDescent="0.25">
      <c r="B20" s="32">
        <v>8.3955301549951131E-13</v>
      </c>
      <c r="C20" s="33">
        <v>8.3955301549951131E-13</v>
      </c>
      <c r="D20" s="32">
        <v>8.3955301549951131E-13</v>
      </c>
      <c r="E20" s="33">
        <v>1.0559433616283263E-12</v>
      </c>
      <c r="F20" s="32">
        <v>2.3909586819766588E-12</v>
      </c>
      <c r="G20" s="33">
        <v>8.3955301549951131E-13</v>
      </c>
      <c r="H20" s="32">
        <v>8.3955301549951131E-13</v>
      </c>
      <c r="I20" s="33">
        <v>8.3955301549951131E-13</v>
      </c>
      <c r="J20" s="32">
        <v>8.3955301549951131E-13</v>
      </c>
      <c r="K20" s="33">
        <v>3.2504515953414087E-12</v>
      </c>
      <c r="L20" s="32">
        <v>8.3955301549951131E-13</v>
      </c>
      <c r="M20" s="33">
        <v>8.3955301549951131E-13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143A-D78A-4D70-AF0C-C8549FAB861A}">
  <dimension ref="A1:H13"/>
  <sheetViews>
    <sheetView workbookViewId="0">
      <selection activeCell="D1" sqref="D1:G13"/>
    </sheetView>
  </sheetViews>
  <sheetFormatPr defaultRowHeight="15" x14ac:dyDescent="0.25"/>
  <cols>
    <col min="1" max="1" width="11.42578125" bestFit="1" customWidth="1"/>
    <col min="2" max="2" width="9" bestFit="1" customWidth="1"/>
    <col min="3" max="6" width="7.140625" bestFit="1" customWidth="1"/>
    <col min="7" max="7" width="12" bestFit="1" customWidth="1"/>
    <col min="8" max="8" width="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 s="1">
        <v>0.68455978236394699</v>
      </c>
      <c r="D2" s="1">
        <v>0.78464926205920804</v>
      </c>
      <c r="E2" s="1">
        <v>0.83235531487724002</v>
      </c>
      <c r="F2" s="1">
        <v>0.88658007402877903</v>
      </c>
      <c r="G2">
        <v>0.96530643432427798</v>
      </c>
      <c r="H2" s="3">
        <v>6.3785988541097399E-12</v>
      </c>
    </row>
    <row r="3" spans="1:8" x14ac:dyDescent="0.25">
      <c r="A3">
        <v>2</v>
      </c>
      <c r="B3">
        <v>2</v>
      </c>
      <c r="C3" s="1">
        <v>0.76479507623127596</v>
      </c>
      <c r="D3" s="1">
        <v>0.81549041437982195</v>
      </c>
      <c r="E3" s="1">
        <v>0.86565737896037298</v>
      </c>
      <c r="F3" s="1">
        <v>0.92048091249325603</v>
      </c>
      <c r="G3">
        <v>1.01018014553044</v>
      </c>
      <c r="H3" s="3">
        <v>2.36524483781797E-10</v>
      </c>
    </row>
    <row r="4" spans="1:8" x14ac:dyDescent="0.25">
      <c r="A4">
        <v>3</v>
      </c>
      <c r="B4">
        <v>3</v>
      </c>
      <c r="C4" s="1">
        <v>0.76365862981356003</v>
      </c>
      <c r="D4" s="1">
        <v>0.82287257014052095</v>
      </c>
      <c r="E4" s="1">
        <v>0.86526649950064705</v>
      </c>
      <c r="F4" s="1">
        <v>0.920000970796929</v>
      </c>
      <c r="G4">
        <v>1.0098409265426</v>
      </c>
      <c r="H4" s="3">
        <v>1.4655389723277601E-11</v>
      </c>
    </row>
    <row r="5" spans="1:8" x14ac:dyDescent="0.25">
      <c r="A5">
        <v>4</v>
      </c>
      <c r="B5">
        <v>4</v>
      </c>
      <c r="C5" s="1">
        <v>0.82034600622498999</v>
      </c>
      <c r="D5" s="1">
        <v>0.85223822009759098</v>
      </c>
      <c r="E5" s="1">
        <v>0.89790309119201195</v>
      </c>
      <c r="F5" s="1">
        <v>0.92751898300491897</v>
      </c>
      <c r="G5">
        <v>0.96779964221824699</v>
      </c>
      <c r="H5" s="3">
        <v>1.21112036294702E-12</v>
      </c>
    </row>
    <row r="6" spans="1:8" x14ac:dyDescent="0.25">
      <c r="A6">
        <v>5</v>
      </c>
      <c r="B6">
        <v>5</v>
      </c>
      <c r="C6" s="1">
        <v>0.92193954551391499</v>
      </c>
      <c r="D6" s="1">
        <v>0.954261469030804</v>
      </c>
      <c r="E6" s="1">
        <v>0.97218262940038103</v>
      </c>
      <c r="F6" s="1">
        <v>1.00405377793234</v>
      </c>
      <c r="G6">
        <v>1.02812980046271</v>
      </c>
      <c r="H6" s="3">
        <v>6.1708669381617395E-5</v>
      </c>
    </row>
    <row r="7" spans="1:8" x14ac:dyDescent="0.25">
      <c r="A7">
        <v>6</v>
      </c>
      <c r="B7">
        <v>6</v>
      </c>
      <c r="C7" s="1">
        <v>0.94655378160965897</v>
      </c>
      <c r="D7" s="1">
        <v>0.99119730352966695</v>
      </c>
      <c r="E7" s="1">
        <v>1.02982417840439</v>
      </c>
      <c r="F7" s="1">
        <v>1.0688289509390201</v>
      </c>
      <c r="G7">
        <v>1.12473471801165</v>
      </c>
      <c r="H7" s="3">
        <v>8.9274457754482501E-4</v>
      </c>
    </row>
    <row r="8" spans="1:8" x14ac:dyDescent="0.25">
      <c r="A8">
        <v>7</v>
      </c>
      <c r="B8">
        <v>7</v>
      </c>
      <c r="C8" s="1">
        <v>1.01737181804892</v>
      </c>
      <c r="D8" s="1">
        <v>1.0645809094504699</v>
      </c>
      <c r="E8" s="1">
        <v>1.1334114457996001</v>
      </c>
      <c r="F8" s="1">
        <v>1.2024379787755599</v>
      </c>
      <c r="G8">
        <v>1.3765207864443201</v>
      </c>
      <c r="H8" s="3">
        <v>3.5803422254146002E-12</v>
      </c>
    </row>
    <row r="9" spans="1:8" x14ac:dyDescent="0.25">
      <c r="A9">
        <v>8</v>
      </c>
      <c r="B9">
        <v>8</v>
      </c>
      <c r="C9" s="1">
        <v>1.02167981292605</v>
      </c>
      <c r="D9" s="1">
        <v>1.08095066366876</v>
      </c>
      <c r="E9" s="1">
        <v>1.16763384476184</v>
      </c>
      <c r="F9" s="1">
        <v>1.3007682554025599</v>
      </c>
      <c r="G9">
        <v>1.5673471490889901</v>
      </c>
      <c r="H9" s="3">
        <v>3.5803422254146002E-12</v>
      </c>
    </row>
    <row r="10" spans="1:8" x14ac:dyDescent="0.25">
      <c r="A10">
        <v>9</v>
      </c>
      <c r="B10">
        <v>9</v>
      </c>
      <c r="C10" s="1">
        <v>1.0093232260434799</v>
      </c>
      <c r="D10" s="1">
        <v>1.0748155928126499</v>
      </c>
      <c r="E10" s="1">
        <v>1.1496840295797199</v>
      </c>
      <c r="F10" s="1">
        <v>1.2742863688514701</v>
      </c>
      <c r="G10">
        <v>1.4959006086262401</v>
      </c>
      <c r="H10" s="3">
        <v>5.5861028248022903E-12</v>
      </c>
    </row>
    <row r="11" spans="1:8" x14ac:dyDescent="0.25">
      <c r="A11">
        <v>10</v>
      </c>
      <c r="B11">
        <v>10</v>
      </c>
      <c r="C11" s="1">
        <v>0.89078170065256401</v>
      </c>
      <c r="D11" s="1">
        <v>0.96369923152222403</v>
      </c>
      <c r="E11" s="1">
        <v>1.07111024744401</v>
      </c>
      <c r="F11" s="1">
        <v>1.1348777848552101</v>
      </c>
      <c r="G11">
        <v>1.22807072153939</v>
      </c>
      <c r="H11" s="3">
        <v>1.1623185366959601E-3</v>
      </c>
    </row>
    <row r="12" spans="1:8" x14ac:dyDescent="0.25">
      <c r="A12">
        <v>11</v>
      </c>
      <c r="B12">
        <v>11</v>
      </c>
      <c r="C12" s="1">
        <v>0.78735868698224598</v>
      </c>
      <c r="D12" s="1">
        <v>0.82654514604253104</v>
      </c>
      <c r="E12" s="1">
        <v>0.90357509837556005</v>
      </c>
      <c r="F12" s="1">
        <v>0.97963858732436304</v>
      </c>
      <c r="G12">
        <v>1.01247395264832</v>
      </c>
      <c r="H12" s="3">
        <v>1.1208774546475E-9</v>
      </c>
    </row>
    <row r="13" spans="1:8" x14ac:dyDescent="0.25">
      <c r="A13">
        <v>12</v>
      </c>
      <c r="B13">
        <v>12</v>
      </c>
      <c r="C13" s="1">
        <v>0.76570429638983695</v>
      </c>
      <c r="D13" s="1">
        <v>0.82518146579560703</v>
      </c>
      <c r="E13" s="1">
        <v>0.86127312229234798</v>
      </c>
      <c r="F13" s="1">
        <v>0.91632184805607197</v>
      </c>
      <c r="G13">
        <v>0.96956580230908196</v>
      </c>
      <c r="H13" s="3">
        <v>2.0712664804584299E-11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41DA-394A-4D33-896C-8E4137DFCD49}">
  <dimension ref="A1:Q30"/>
  <sheetViews>
    <sheetView workbookViewId="0">
      <selection activeCell="F27" sqref="F27:Q30"/>
    </sheetView>
  </sheetViews>
  <sheetFormatPr defaultRowHeight="15" x14ac:dyDescent="0.25"/>
  <cols>
    <col min="1" max="1" width="11.42578125" bestFit="1" customWidth="1"/>
    <col min="2" max="2" width="9" bestFit="1" customWidth="1"/>
    <col min="3" max="6" width="7.140625" bestFit="1" customWidth="1"/>
    <col min="7" max="7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>
        <v>1</v>
      </c>
      <c r="B2">
        <v>1</v>
      </c>
      <c r="C2" s="13">
        <v>-0.27808271242646199</v>
      </c>
      <c r="D2" s="13">
        <v>-0.21387720469446</v>
      </c>
      <c r="E2" s="13">
        <v>-0.14458253525666701</v>
      </c>
      <c r="F2" s="13">
        <v>-8.9157763583035302E-2</v>
      </c>
      <c r="G2" s="14">
        <v>2.9933947876071401E-12</v>
      </c>
    </row>
    <row r="3" spans="1:7" x14ac:dyDescent="0.25">
      <c r="A3">
        <v>2</v>
      </c>
      <c r="B3">
        <v>2</v>
      </c>
      <c r="C3" s="13">
        <v>-0.17708838758134701</v>
      </c>
      <c r="D3" s="13">
        <v>-0.120969588744589</v>
      </c>
      <c r="E3" s="13">
        <v>-7.42278134793663E-2</v>
      </c>
      <c r="F3" s="13">
        <v>-3.7220084366391099E-2</v>
      </c>
      <c r="G3" s="14">
        <v>2.73312775667145E-9</v>
      </c>
    </row>
    <row r="4" spans="1:7" x14ac:dyDescent="0.25">
      <c r="A4">
        <v>3</v>
      </c>
      <c r="B4">
        <v>3</v>
      </c>
      <c r="C4" s="13">
        <v>-0.135412012987013</v>
      </c>
      <c r="D4" s="13">
        <v>-8.0167045454545505E-2</v>
      </c>
      <c r="E4" s="13">
        <v>-2.8412749937260701E-2</v>
      </c>
      <c r="F4" s="13">
        <v>4.2709551355950602E-3</v>
      </c>
      <c r="G4" s="14">
        <v>5.8575402563254698E-5</v>
      </c>
    </row>
    <row r="5" spans="1:7" x14ac:dyDescent="0.25">
      <c r="A5">
        <v>4</v>
      </c>
      <c r="B5">
        <v>4</v>
      </c>
      <c r="C5" s="13">
        <v>-8.4137237762237804E-2</v>
      </c>
      <c r="D5" s="13">
        <v>-3.12877056858911E-2</v>
      </c>
      <c r="E5" s="13">
        <v>4.1011812524597204E-3</v>
      </c>
      <c r="F5" s="13">
        <v>5.8169135693307901E-2</v>
      </c>
      <c r="G5" s="14">
        <v>0.23323295563386101</v>
      </c>
    </row>
    <row r="6" spans="1:7" x14ac:dyDescent="0.25">
      <c r="A6">
        <v>5</v>
      </c>
      <c r="B6">
        <v>5</v>
      </c>
      <c r="C6" s="13">
        <v>8.8875118783655095E-3</v>
      </c>
      <c r="D6" s="13">
        <v>3.3108987603305801E-2</v>
      </c>
      <c r="E6" s="13">
        <v>5.6187868592759899E-2</v>
      </c>
      <c r="F6" s="13">
        <v>9.2977124505928793E-2</v>
      </c>
      <c r="G6" s="14">
        <v>1.28638611451188E-11</v>
      </c>
    </row>
    <row r="7" spans="1:7" x14ac:dyDescent="0.25">
      <c r="A7">
        <v>6</v>
      </c>
      <c r="B7">
        <v>6</v>
      </c>
      <c r="C7" s="13">
        <v>2.42931595377244E-3</v>
      </c>
      <c r="D7" s="13">
        <v>4.3344118779483701E-2</v>
      </c>
      <c r="E7" s="13">
        <v>7.3449889520202094E-2</v>
      </c>
      <c r="F7" s="13">
        <v>0.116955980940356</v>
      </c>
      <c r="G7" s="14">
        <v>7.7253407472673104E-11</v>
      </c>
    </row>
    <row r="8" spans="1:7" x14ac:dyDescent="0.25">
      <c r="A8">
        <v>7</v>
      </c>
      <c r="B8">
        <v>7</v>
      </c>
      <c r="C8" s="13">
        <v>1.9709788256124398E-2</v>
      </c>
      <c r="D8" s="13">
        <v>7.8820435053297999E-2</v>
      </c>
      <c r="E8" s="13">
        <v>0.13510873190429601</v>
      </c>
      <c r="F8" s="13">
        <v>0.17452411616161601</v>
      </c>
      <c r="G8" s="14">
        <v>3.91471807312767E-12</v>
      </c>
    </row>
    <row r="9" spans="1:7" x14ac:dyDescent="0.25">
      <c r="A9">
        <v>8</v>
      </c>
      <c r="B9">
        <v>8</v>
      </c>
      <c r="C9" s="13">
        <v>9.8951569264070192E-3</v>
      </c>
      <c r="D9" s="13">
        <v>7.9167622966114196E-2</v>
      </c>
      <c r="E9" s="13">
        <v>0.123775992727664</v>
      </c>
      <c r="F9" s="13">
        <v>0.209458886937927</v>
      </c>
      <c r="G9" s="14">
        <v>3.7438738660489002E-12</v>
      </c>
    </row>
    <row r="10" spans="1:7" x14ac:dyDescent="0.25">
      <c r="A10">
        <v>9</v>
      </c>
      <c r="B10">
        <v>9</v>
      </c>
      <c r="C10" s="13">
        <v>1.8600695899083199E-3</v>
      </c>
      <c r="D10" s="13">
        <v>5.7710861242155E-2</v>
      </c>
      <c r="E10" s="13">
        <v>9.8207259881040398E-2</v>
      </c>
      <c r="F10" s="13">
        <v>0.169286439732143</v>
      </c>
      <c r="G10" s="14">
        <v>2.3566166928873201E-11</v>
      </c>
    </row>
    <row r="11" spans="1:7" x14ac:dyDescent="0.25">
      <c r="A11">
        <v>10</v>
      </c>
      <c r="B11">
        <v>10</v>
      </c>
      <c r="C11" s="13">
        <v>-4.1347168656259599E-2</v>
      </c>
      <c r="D11" s="13">
        <v>-2.3808209647495401E-2</v>
      </c>
      <c r="E11" s="13">
        <v>1.70173160173159E-2</v>
      </c>
      <c r="F11" s="13">
        <v>5.3553954175905402E-2</v>
      </c>
      <c r="G11" s="14">
        <v>8.9993038566327996E-3</v>
      </c>
    </row>
    <row r="12" spans="1:7" x14ac:dyDescent="0.25">
      <c r="A12">
        <v>11</v>
      </c>
      <c r="B12">
        <v>11</v>
      </c>
      <c r="C12" s="13">
        <v>-0.23255673687970499</v>
      </c>
      <c r="D12" s="13">
        <v>-0.165743006603468</v>
      </c>
      <c r="E12" s="13">
        <v>-0.119525866775867</v>
      </c>
      <c r="F12" s="13">
        <v>-7.7495136019283706E-2</v>
      </c>
      <c r="G12" s="14">
        <v>4.4743919821850199E-12</v>
      </c>
    </row>
    <row r="13" spans="1:7" x14ac:dyDescent="0.25">
      <c r="A13">
        <v>12</v>
      </c>
      <c r="B13">
        <v>12</v>
      </c>
      <c r="C13" s="13">
        <v>-0.25987588389008798</v>
      </c>
      <c r="D13" s="13">
        <v>-0.21432224025974</v>
      </c>
      <c r="E13" s="13">
        <v>-0.16155798260381601</v>
      </c>
      <c r="F13" s="13">
        <v>-0.131697622053872</v>
      </c>
      <c r="G13" s="14">
        <v>1.32677749284679E-12</v>
      </c>
    </row>
    <row r="18" spans="5:17" x14ac:dyDescent="0.25">
      <c r="E18" s="21">
        <v>-0.27808271242646199</v>
      </c>
      <c r="F18" s="23">
        <v>-0.17708838758134701</v>
      </c>
      <c r="G18" s="21">
        <v>-0.135412012987013</v>
      </c>
      <c r="H18" s="23">
        <v>-8.4137237762237804E-2</v>
      </c>
      <c r="I18" s="21">
        <v>8.8875118783655095E-3</v>
      </c>
      <c r="J18" s="23">
        <v>2.42931595377244E-3</v>
      </c>
      <c r="K18" s="21">
        <v>1.9709788256124398E-2</v>
      </c>
      <c r="L18" s="23">
        <v>9.8951569264070192E-3</v>
      </c>
      <c r="M18" s="21">
        <v>1.8600695899083199E-3</v>
      </c>
      <c r="N18" s="23">
        <v>-4.1347168656259599E-2</v>
      </c>
      <c r="O18" s="21">
        <v>-0.23255673687970499</v>
      </c>
      <c r="P18" s="23">
        <v>-0.25987588389008798</v>
      </c>
    </row>
    <row r="19" spans="5:17" x14ac:dyDescent="0.25">
      <c r="E19" s="21">
        <v>-0.21387720469446</v>
      </c>
      <c r="F19" s="23">
        <v>-0.120969588744589</v>
      </c>
      <c r="G19" s="21">
        <v>-8.0167045454545505E-2</v>
      </c>
      <c r="H19" s="23">
        <v>-3.12877056858911E-2</v>
      </c>
      <c r="I19" s="21">
        <v>3.3108987603305801E-2</v>
      </c>
      <c r="J19" s="23">
        <v>4.3344118779483701E-2</v>
      </c>
      <c r="K19" s="21">
        <v>7.8820435053297999E-2</v>
      </c>
      <c r="L19" s="23">
        <v>7.9167622966114196E-2</v>
      </c>
      <c r="M19" s="21">
        <v>5.7710861242155E-2</v>
      </c>
      <c r="N19" s="23">
        <v>-2.3808209647495401E-2</v>
      </c>
      <c r="O19" s="21">
        <v>-0.165743006603468</v>
      </c>
      <c r="P19" s="23">
        <v>-0.21432224025974</v>
      </c>
    </row>
    <row r="20" spans="5:17" x14ac:dyDescent="0.25">
      <c r="E20" s="21">
        <v>-0.14458253525666701</v>
      </c>
      <c r="F20" s="23">
        <v>-7.42278134793663E-2</v>
      </c>
      <c r="G20" s="21">
        <v>-2.8412749937260701E-2</v>
      </c>
      <c r="H20" s="23">
        <v>4.1011812524597204E-3</v>
      </c>
      <c r="I20" s="21">
        <v>5.6187868592759899E-2</v>
      </c>
      <c r="J20" s="23">
        <v>7.3449889520202094E-2</v>
      </c>
      <c r="K20" s="21">
        <v>0.13510873190429601</v>
      </c>
      <c r="L20" s="23">
        <v>0.123775992727664</v>
      </c>
      <c r="M20" s="21">
        <v>9.8207259881040398E-2</v>
      </c>
      <c r="N20" s="23">
        <v>1.70173160173159E-2</v>
      </c>
      <c r="O20" s="21">
        <v>-0.119525866775867</v>
      </c>
      <c r="P20" s="23">
        <v>-0.16155798260381601</v>
      </c>
    </row>
    <row r="21" spans="5:17" x14ac:dyDescent="0.25">
      <c r="E21" s="21">
        <v>-8.9157763583035302E-2</v>
      </c>
      <c r="F21" s="23">
        <v>-3.7220084366391099E-2</v>
      </c>
      <c r="G21" s="21">
        <v>4.2709551355950602E-3</v>
      </c>
      <c r="H21" s="23">
        <v>5.8169135693307901E-2</v>
      </c>
      <c r="I21" s="21">
        <v>9.2977124505928793E-2</v>
      </c>
      <c r="J21" s="23">
        <v>0.116955980940356</v>
      </c>
      <c r="K21" s="21">
        <v>0.17452411616161601</v>
      </c>
      <c r="L21" s="23">
        <v>0.209458886937927</v>
      </c>
      <c r="M21" s="21">
        <v>0.169286439732143</v>
      </c>
      <c r="N21" s="23">
        <v>5.3553954175905402E-2</v>
      </c>
      <c r="O21" s="21">
        <v>-7.7495136019283706E-2</v>
      </c>
      <c r="P21" s="23">
        <v>-0.131697622053872</v>
      </c>
    </row>
    <row r="22" spans="5:17" x14ac:dyDescent="0.25">
      <c r="E22" s="34">
        <v>2.9933947876071401E-12</v>
      </c>
      <c r="F22" s="35">
        <v>2.73312775667145E-9</v>
      </c>
      <c r="G22" s="34">
        <v>5.8575402563254698E-5</v>
      </c>
      <c r="H22" s="35">
        <v>0.23323295563386101</v>
      </c>
      <c r="I22" s="34">
        <v>1.28638611451188E-11</v>
      </c>
      <c r="J22" s="35">
        <v>7.7253407472673104E-11</v>
      </c>
      <c r="K22" s="34">
        <v>3.91471807312767E-12</v>
      </c>
      <c r="L22" s="35">
        <v>3.7438738660489002E-12</v>
      </c>
      <c r="M22" s="34">
        <v>2.3566166928873201E-11</v>
      </c>
      <c r="N22" s="35">
        <v>8.9993038566327996E-3</v>
      </c>
      <c r="O22" s="34">
        <v>4.4743919821850199E-12</v>
      </c>
      <c r="P22" s="35">
        <v>1.32677749284679E-12</v>
      </c>
    </row>
    <row r="27" spans="5:17" x14ac:dyDescent="0.25">
      <c r="E27" s="17" t="s">
        <v>3</v>
      </c>
      <c r="F27" s="21">
        <v>-0.21387720469446</v>
      </c>
      <c r="G27" s="23">
        <v>-0.120969588744589</v>
      </c>
      <c r="H27" s="21">
        <v>-8.0167045454545505E-2</v>
      </c>
      <c r="I27" s="23">
        <v>-3.12877056858911E-2</v>
      </c>
      <c r="J27" s="21">
        <v>3.3108987603305801E-2</v>
      </c>
      <c r="K27" s="23">
        <v>4.3344118779483701E-2</v>
      </c>
      <c r="L27" s="21">
        <v>7.8820435053297999E-2</v>
      </c>
      <c r="M27" s="23">
        <v>7.9167622966114196E-2</v>
      </c>
      <c r="N27" s="21">
        <v>5.7710861242155E-2</v>
      </c>
      <c r="O27" s="23">
        <v>-2.3808209647495401E-2</v>
      </c>
      <c r="P27" s="21">
        <v>-0.165743006603468</v>
      </c>
      <c r="Q27" s="23">
        <v>-0.21432224025974</v>
      </c>
    </row>
    <row r="28" spans="5:17" x14ac:dyDescent="0.25">
      <c r="E28" s="17" t="s">
        <v>4</v>
      </c>
      <c r="F28" s="21">
        <v>-0.14458253525666701</v>
      </c>
      <c r="G28" s="23">
        <v>-7.42278134793663E-2</v>
      </c>
      <c r="H28" s="21">
        <v>-2.8412749937260701E-2</v>
      </c>
      <c r="I28" s="23">
        <v>4.1011812524597204E-3</v>
      </c>
      <c r="J28" s="21">
        <v>5.6187868592759899E-2</v>
      </c>
      <c r="K28" s="23">
        <v>7.3449889520202094E-2</v>
      </c>
      <c r="L28" s="21">
        <v>0.13510873190429601</v>
      </c>
      <c r="M28" s="23">
        <v>0.123775992727664</v>
      </c>
      <c r="N28" s="21">
        <v>9.8207259881040398E-2</v>
      </c>
      <c r="O28" s="23">
        <v>1.70173160173159E-2</v>
      </c>
      <c r="P28" s="21">
        <v>-0.119525866775867</v>
      </c>
      <c r="Q28" s="23">
        <v>-0.16155798260381601</v>
      </c>
    </row>
    <row r="29" spans="5:17" x14ac:dyDescent="0.25">
      <c r="E29" s="17" t="s">
        <v>5</v>
      </c>
      <c r="F29" s="21">
        <v>-8.9157763583035302E-2</v>
      </c>
      <c r="G29" s="23">
        <v>-3.7220084366391099E-2</v>
      </c>
      <c r="H29" s="21">
        <v>4.2709551355950602E-3</v>
      </c>
      <c r="I29" s="23">
        <v>5.8169135693307901E-2</v>
      </c>
      <c r="J29" s="21">
        <v>9.2977124505928793E-2</v>
      </c>
      <c r="K29" s="23">
        <v>0.116955980940356</v>
      </c>
      <c r="L29" s="21">
        <v>0.17452411616161601</v>
      </c>
      <c r="M29" s="23">
        <v>0.209458886937927</v>
      </c>
      <c r="N29" s="21">
        <v>0.169286439732143</v>
      </c>
      <c r="O29" s="23">
        <v>5.3553954175905402E-2</v>
      </c>
      <c r="P29" s="21">
        <v>-7.7495136019283706E-2</v>
      </c>
      <c r="Q29" s="23">
        <v>-0.131697622053872</v>
      </c>
    </row>
    <row r="30" spans="5:17" x14ac:dyDescent="0.25">
      <c r="E30" s="18" t="s">
        <v>7</v>
      </c>
      <c r="F30" s="22">
        <v>2.9933947876071401E-12</v>
      </c>
      <c r="G30" s="24">
        <v>2.73312775667145E-9</v>
      </c>
      <c r="H30" s="22">
        <v>5.8575402563254698E-5</v>
      </c>
      <c r="I30" s="24">
        <v>0.23323295563386101</v>
      </c>
      <c r="J30" s="22">
        <v>1.28638611451188E-11</v>
      </c>
      <c r="K30" s="24">
        <v>7.7253407472673104E-11</v>
      </c>
      <c r="L30" s="22">
        <v>3.91471807312767E-12</v>
      </c>
      <c r="M30" s="24">
        <v>3.7438738660489002E-12</v>
      </c>
      <c r="N30" s="22">
        <v>2.3566166928873201E-11</v>
      </c>
      <c r="O30" s="24">
        <v>8.9993038566327996E-3</v>
      </c>
      <c r="P30" s="22">
        <v>4.4743919821850199E-12</v>
      </c>
      <c r="Q30" s="24">
        <v>1.32677749284679E-12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5391-5EE3-460D-9A95-B2ECC3BBF652}">
  <dimension ref="A1:G13"/>
  <sheetViews>
    <sheetView workbookViewId="0">
      <selection activeCell="C1" sqref="C1:F13"/>
    </sheetView>
  </sheetViews>
  <sheetFormatPr defaultRowHeight="15" x14ac:dyDescent="0.25"/>
  <cols>
    <col min="1" max="1" width="9" bestFit="1" customWidth="1"/>
    <col min="2" max="5" width="7.140625" bestFit="1" customWidth="1"/>
    <col min="6" max="6" width="12.7109375" bestFit="1" customWidth="1"/>
    <col min="7" max="7" width="8.285156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ht="15.75" thickBot="1" x14ac:dyDescent="0.3">
      <c r="A2" s="16">
        <v>1</v>
      </c>
      <c r="B2" s="1">
        <v>-5.7480320901320905</v>
      </c>
      <c r="C2" s="1">
        <v>-5.1176276806526806</v>
      </c>
      <c r="D2" s="1">
        <v>-4.4622810956727879</v>
      </c>
      <c r="E2" s="1">
        <v>-3.5904643689643687</v>
      </c>
      <c r="F2">
        <v>-2.7809358682592054</v>
      </c>
      <c r="G2" s="14">
        <v>8.3955301549951131E-13</v>
      </c>
    </row>
    <row r="3" spans="1:7" ht="15.75" thickBot="1" x14ac:dyDescent="0.3">
      <c r="A3" s="15">
        <v>2</v>
      </c>
      <c r="B3" s="1">
        <v>-5.3769843771711825</v>
      </c>
      <c r="C3" s="1">
        <v>-4.8423461174242428</v>
      </c>
      <c r="D3" s="1">
        <v>-4.3029885697032437</v>
      </c>
      <c r="E3" s="1">
        <v>-3.6420598731884057</v>
      </c>
      <c r="F3">
        <v>-2.8991048768939391</v>
      </c>
      <c r="G3" s="14">
        <v>8.3955301549951131E-13</v>
      </c>
    </row>
    <row r="4" spans="1:7" ht="15.75" thickBot="1" x14ac:dyDescent="0.3">
      <c r="A4" s="16">
        <v>3</v>
      </c>
      <c r="B4" s="1">
        <v>-3.6386650946110768</v>
      </c>
      <c r="C4" s="1">
        <v>-3.2415900994838496</v>
      </c>
      <c r="D4" s="1">
        <v>-2.8216185277141159</v>
      </c>
      <c r="E4" s="1">
        <v>-2.5035243960300626</v>
      </c>
      <c r="F4">
        <v>-1.9148802910052909</v>
      </c>
      <c r="G4" s="14">
        <v>8.3955301549951131E-13</v>
      </c>
    </row>
    <row r="5" spans="1:7" ht="15.75" thickBot="1" x14ac:dyDescent="0.3">
      <c r="A5" s="15">
        <v>4</v>
      </c>
      <c r="B5" s="1">
        <v>-2.114669871794872</v>
      </c>
      <c r="C5" s="1">
        <v>-1.5486747016947424</v>
      </c>
      <c r="D5" s="1">
        <v>-0.88392786796536815</v>
      </c>
      <c r="E5" s="1">
        <v>-0.5766390322071524</v>
      </c>
      <c r="F5">
        <v>-0.20901059743396705</v>
      </c>
      <c r="G5" s="14">
        <v>1.0559433616283263E-12</v>
      </c>
    </row>
    <row r="6" spans="1:7" ht="15.75" thickBot="1" x14ac:dyDescent="0.3">
      <c r="A6" s="16">
        <v>5</v>
      </c>
      <c r="B6" s="1">
        <v>0.43808824150150694</v>
      </c>
      <c r="C6" s="1">
        <v>0.71149208885732329</v>
      </c>
      <c r="D6" s="1">
        <v>1.2121938498283327</v>
      </c>
      <c r="E6" s="1">
        <v>1.6813843650633138</v>
      </c>
      <c r="F6">
        <v>2.1330513593357239</v>
      </c>
      <c r="G6" s="14">
        <v>2.3909586819766588E-12</v>
      </c>
    </row>
    <row r="7" spans="1:7" ht="15.75" thickBot="1" x14ac:dyDescent="0.3">
      <c r="A7" s="15">
        <v>6</v>
      </c>
      <c r="B7" s="1">
        <v>1.9490769841269842</v>
      </c>
      <c r="C7" s="1">
        <v>2.4800931637806638</v>
      </c>
      <c r="D7" s="1">
        <v>3.0210574714919227</v>
      </c>
      <c r="E7" s="1">
        <v>3.7021150703463199</v>
      </c>
      <c r="F7">
        <v>4.214427644500562</v>
      </c>
      <c r="G7" s="14">
        <v>8.3955301549951131E-13</v>
      </c>
    </row>
    <row r="8" spans="1:7" ht="15.75" thickBot="1" x14ac:dyDescent="0.3">
      <c r="A8" s="16">
        <v>7</v>
      </c>
      <c r="B8" s="1">
        <v>3.0832665719696974</v>
      </c>
      <c r="C8" s="1">
        <v>3.9575765329690635</v>
      </c>
      <c r="D8" s="1">
        <v>4.74623678357987</v>
      </c>
      <c r="E8" s="1">
        <v>5.6567083088538448</v>
      </c>
      <c r="F8">
        <v>6.4554158068783067</v>
      </c>
      <c r="G8" s="14">
        <v>8.3955301549951131E-13</v>
      </c>
    </row>
    <row r="9" spans="1:7" ht="15.75" thickBot="1" x14ac:dyDescent="0.3">
      <c r="A9" s="15">
        <v>8</v>
      </c>
      <c r="B9" s="1">
        <v>3.3085176767676767</v>
      </c>
      <c r="C9" s="1">
        <v>4.3180094748212641</v>
      </c>
      <c r="D9" s="1">
        <v>4.9881924688316737</v>
      </c>
      <c r="E9" s="1">
        <v>5.8668425093052106</v>
      </c>
      <c r="F9">
        <v>6.9577939756767249</v>
      </c>
      <c r="G9" s="14">
        <v>8.3955301549951131E-13</v>
      </c>
    </row>
    <row r="10" spans="1:7" ht="15.75" thickBot="1" x14ac:dyDescent="0.3">
      <c r="A10" s="16">
        <v>9</v>
      </c>
      <c r="B10" s="1">
        <v>2.485777972027972</v>
      </c>
      <c r="C10" s="1">
        <v>2.8147071850913314</v>
      </c>
      <c r="D10" s="1">
        <v>3.2361112157376013</v>
      </c>
      <c r="E10" s="1">
        <v>3.5603383897481118</v>
      </c>
      <c r="F10">
        <v>4.1066566696632218</v>
      </c>
      <c r="G10" s="14">
        <v>8.3955301549951131E-13</v>
      </c>
    </row>
    <row r="11" spans="1:7" ht="15.75" thickBot="1" x14ac:dyDescent="0.3">
      <c r="A11" s="15">
        <v>10</v>
      </c>
      <c r="B11" s="1">
        <v>0.21178104673104661</v>
      </c>
      <c r="C11" s="1">
        <v>0.33745132575757575</v>
      </c>
      <c r="D11" s="1">
        <v>0.64067592592592604</v>
      </c>
      <c r="E11" s="1">
        <v>0.88864867424242422</v>
      </c>
      <c r="F11">
        <v>1.1728510489980448</v>
      </c>
      <c r="G11" s="14">
        <v>3.2504515953414087E-12</v>
      </c>
    </row>
    <row r="12" spans="1:7" ht="15.75" thickBot="1" x14ac:dyDescent="0.3">
      <c r="A12" s="16">
        <v>11</v>
      </c>
      <c r="B12" s="1">
        <v>-2.6603626023751024</v>
      </c>
      <c r="C12" s="1">
        <v>-2.034890637140637</v>
      </c>
      <c r="D12" s="1">
        <v>-1.6542040700776497</v>
      </c>
      <c r="E12" s="1">
        <v>-1.3303225793416538</v>
      </c>
      <c r="F12">
        <v>-0.8320736514905549</v>
      </c>
      <c r="G12" s="14">
        <v>8.3955301549951131E-13</v>
      </c>
    </row>
    <row r="13" spans="1:7" ht="15.75" thickBot="1" x14ac:dyDescent="0.3">
      <c r="A13" s="15">
        <v>12</v>
      </c>
      <c r="B13" s="1">
        <v>-5.3849702404077409</v>
      </c>
      <c r="C13" s="1">
        <v>-4.512266227885581</v>
      </c>
      <c r="D13" s="1">
        <v>-3.7696111306756146</v>
      </c>
      <c r="E13" s="1">
        <v>-3.2728804320679319</v>
      </c>
      <c r="F13">
        <v>-2.3861899319903577</v>
      </c>
      <c r="G13" s="14">
        <v>8.3955301549951131E-13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242073-856C-4AE5-A022-DC5C8E4DA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Temperature_Monthly_Dist</vt:lpstr>
      <vt:lpstr>Conductivity_Monthly_Dist</vt:lpstr>
      <vt:lpstr>pH_Monthly_Dist</vt:lpstr>
      <vt:lpstr>Temperature_Monthly_Dist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V French</dc:creator>
  <cp:lastModifiedBy>Eric French</cp:lastModifiedBy>
  <dcterms:created xsi:type="dcterms:W3CDTF">2024-10-18T21:21:39Z</dcterms:created>
  <dcterms:modified xsi:type="dcterms:W3CDTF">2024-11-26T23:53:01Z</dcterms:modified>
</cp:coreProperties>
</file>