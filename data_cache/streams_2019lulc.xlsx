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0e20b7f6c3b906/Documents/KC-Streams-Analysis/data_cache/"/>
    </mc:Choice>
  </mc:AlternateContent>
  <xr:revisionPtr revIDLastSave="46" documentId="8_{E3052FD2-981D-4E2C-8B81-FC6F18F19128}" xr6:coauthVersionLast="47" xr6:coauthVersionMax="47" xr10:uidLastSave="{C04F9D66-F4B5-4C77-AEE6-16CBB54E5035}"/>
  <bookViews>
    <workbookView xWindow="2730" yWindow="2730" windowWidth="21600" windowHeight="13545" activeTab="1" xr2:uid="{B79C8CA6-09B2-4EB5-862A-BB01EB8BD711}"/>
  </bookViews>
  <sheets>
    <sheet name="LULC - sq m" sheetId="1" r:id="rId1"/>
    <sheet name="LULC - %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2" l="1"/>
  <c r="E3" i="2"/>
  <c r="E4" i="2"/>
  <c r="E5" i="2"/>
  <c r="E6" i="2"/>
  <c r="E7" i="2"/>
  <c r="E8" i="2"/>
  <c r="E9" i="2"/>
  <c r="E10" i="2"/>
  <c r="E11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2" i="2"/>
  <c r="C100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2" i="2"/>
  <c r="S95" i="1"/>
  <c r="T95" i="1" s="1"/>
  <c r="S94" i="1"/>
  <c r="T94" i="1" s="1"/>
  <c r="S93" i="1"/>
  <c r="T93" i="1" s="1"/>
  <c r="S92" i="1"/>
  <c r="T92" i="1" s="1"/>
  <c r="S91" i="1"/>
  <c r="T91" i="1" s="1"/>
  <c r="S90" i="1"/>
  <c r="T90" i="1" s="1"/>
  <c r="S89" i="1"/>
  <c r="T89" i="1" s="1"/>
  <c r="S88" i="1"/>
  <c r="T88" i="1" s="1"/>
  <c r="S87" i="1"/>
  <c r="T87" i="1" s="1"/>
  <c r="S86" i="1"/>
  <c r="T86" i="1" s="1"/>
  <c r="S85" i="1"/>
  <c r="T85" i="1" s="1"/>
  <c r="S84" i="1"/>
  <c r="T84" i="1" s="1"/>
  <c r="S83" i="1"/>
  <c r="T83" i="1" s="1"/>
  <c r="S82" i="1"/>
  <c r="T82" i="1" s="1"/>
  <c r="S81" i="1"/>
  <c r="T81" i="1" s="1"/>
  <c r="S80" i="1"/>
  <c r="T80" i="1" s="1"/>
  <c r="S79" i="1"/>
  <c r="T79" i="1" s="1"/>
  <c r="S78" i="1"/>
  <c r="T78" i="1" s="1"/>
  <c r="S77" i="1"/>
  <c r="T77" i="1" s="1"/>
  <c r="S76" i="1"/>
  <c r="T76" i="1" s="1"/>
  <c r="S75" i="1"/>
  <c r="T75" i="1" s="1"/>
  <c r="S74" i="1"/>
  <c r="T74" i="1" s="1"/>
  <c r="S73" i="1"/>
  <c r="T73" i="1" s="1"/>
  <c r="S72" i="1"/>
  <c r="T72" i="1" s="1"/>
  <c r="S71" i="1"/>
  <c r="T71" i="1" s="1"/>
  <c r="S70" i="1"/>
  <c r="T70" i="1" s="1"/>
  <c r="S69" i="1"/>
  <c r="T69" i="1" s="1"/>
  <c r="S68" i="1"/>
  <c r="T68" i="1" s="1"/>
  <c r="S67" i="1"/>
  <c r="T67" i="1" s="1"/>
  <c r="S66" i="1"/>
  <c r="T66" i="1" s="1"/>
  <c r="S65" i="1"/>
  <c r="T65" i="1" s="1"/>
  <c r="S64" i="1"/>
  <c r="T64" i="1" s="1"/>
  <c r="S63" i="1"/>
  <c r="T63" i="1" s="1"/>
  <c r="S62" i="1"/>
  <c r="T62" i="1" s="1"/>
  <c r="S61" i="1"/>
  <c r="T61" i="1" s="1"/>
  <c r="S60" i="1"/>
  <c r="T60" i="1" s="1"/>
  <c r="S59" i="1"/>
  <c r="T59" i="1" s="1"/>
  <c r="S58" i="1"/>
  <c r="T58" i="1" s="1"/>
  <c r="S57" i="1"/>
  <c r="T57" i="1" s="1"/>
  <c r="S56" i="1"/>
  <c r="T56" i="1" s="1"/>
  <c r="S55" i="1"/>
  <c r="T55" i="1" s="1"/>
  <c r="S54" i="1"/>
  <c r="T54" i="1" s="1"/>
  <c r="S53" i="1"/>
  <c r="T53" i="1" s="1"/>
  <c r="S52" i="1"/>
  <c r="T52" i="1" s="1"/>
  <c r="S51" i="1"/>
  <c r="T51" i="1" s="1"/>
  <c r="S50" i="1"/>
  <c r="T50" i="1" s="1"/>
  <c r="S49" i="1"/>
  <c r="T49" i="1" s="1"/>
  <c r="S48" i="1"/>
  <c r="T48" i="1" s="1"/>
  <c r="S47" i="1"/>
  <c r="T47" i="1" s="1"/>
  <c r="S46" i="1"/>
  <c r="T46" i="1" s="1"/>
  <c r="S45" i="1"/>
  <c r="T45" i="1" s="1"/>
  <c r="S44" i="1"/>
  <c r="T44" i="1" s="1"/>
  <c r="S43" i="1"/>
  <c r="T43" i="1" s="1"/>
  <c r="S42" i="1"/>
  <c r="T42" i="1" s="1"/>
  <c r="S41" i="1"/>
  <c r="T41" i="1" s="1"/>
  <c r="S40" i="1"/>
  <c r="T40" i="1" s="1"/>
  <c r="S39" i="1"/>
  <c r="T39" i="1" s="1"/>
  <c r="S38" i="1"/>
  <c r="T38" i="1" s="1"/>
  <c r="S37" i="1"/>
  <c r="T37" i="1" s="1"/>
  <c r="S36" i="1"/>
  <c r="T36" i="1" s="1"/>
  <c r="S35" i="1"/>
  <c r="T35" i="1" s="1"/>
  <c r="S34" i="1"/>
  <c r="T34" i="1" s="1"/>
  <c r="S33" i="1"/>
  <c r="T33" i="1" s="1"/>
  <c r="S32" i="1"/>
  <c r="T32" i="1" s="1"/>
  <c r="S31" i="1"/>
  <c r="T31" i="1" s="1"/>
  <c r="S30" i="1"/>
  <c r="T30" i="1" s="1"/>
  <c r="S29" i="1"/>
  <c r="T29" i="1" s="1"/>
  <c r="S28" i="1"/>
  <c r="T28" i="1" s="1"/>
  <c r="S27" i="1"/>
  <c r="T27" i="1" s="1"/>
  <c r="S26" i="1"/>
  <c r="T26" i="1" s="1"/>
  <c r="S25" i="1"/>
  <c r="T25" i="1" s="1"/>
  <c r="S24" i="1"/>
  <c r="T24" i="1" s="1"/>
  <c r="S23" i="1"/>
  <c r="T23" i="1" s="1"/>
  <c r="S22" i="1"/>
  <c r="T22" i="1" s="1"/>
  <c r="S21" i="1"/>
  <c r="T21" i="1" s="1"/>
  <c r="S20" i="1"/>
  <c r="T20" i="1" s="1"/>
  <c r="S19" i="1"/>
  <c r="T19" i="1" s="1"/>
  <c r="S18" i="1"/>
  <c r="T18" i="1" s="1"/>
  <c r="S17" i="1"/>
  <c r="T17" i="1" s="1"/>
  <c r="S16" i="1"/>
  <c r="T16" i="1" s="1"/>
  <c r="S15" i="1"/>
  <c r="T15" i="1" s="1"/>
  <c r="S14" i="1"/>
  <c r="T14" i="1" s="1"/>
  <c r="S13" i="1"/>
  <c r="T13" i="1" s="1"/>
  <c r="S12" i="1"/>
  <c r="T12" i="1" s="1"/>
  <c r="S11" i="1"/>
  <c r="T11" i="1" s="1"/>
  <c r="S10" i="1"/>
  <c r="T10" i="1" s="1"/>
  <c r="S9" i="1"/>
  <c r="T9" i="1" s="1"/>
  <c r="S8" i="1"/>
  <c r="T8" i="1" s="1"/>
  <c r="S7" i="1"/>
  <c r="T7" i="1" s="1"/>
  <c r="S6" i="1"/>
  <c r="T6" i="1" s="1"/>
  <c r="S5" i="1"/>
  <c r="T5" i="1" s="1"/>
  <c r="S4" i="1"/>
  <c r="T4" i="1" s="1"/>
  <c r="S3" i="1"/>
  <c r="T3" i="1" s="1"/>
</calcChain>
</file>

<file path=xl/sharedStrings.xml><?xml version="1.0" encoding="utf-8"?>
<sst xmlns="http://schemas.openxmlformats.org/spreadsheetml/2006/main" count="432" uniqueCount="182">
  <si>
    <t>Open Water</t>
  </si>
  <si>
    <t>Perennial Ice/Snow</t>
  </si>
  <si>
    <t>Developed, Open Space</t>
  </si>
  <si>
    <t>Developed, Low Intensity</t>
  </si>
  <si>
    <t>Developed, Medium Intensity</t>
  </si>
  <si>
    <t>Developed, High Intensity</t>
  </si>
  <si>
    <t>Barren Land</t>
  </si>
  <si>
    <t>Deciduous Forest</t>
  </si>
  <si>
    <t>Evergreen Forest</t>
  </si>
  <si>
    <t>Mixed Forest</t>
  </si>
  <si>
    <t>Shrub/Scrub</t>
  </si>
  <si>
    <t>Grassland/Herbaceous</t>
  </si>
  <si>
    <t>Pasture/Hay</t>
  </si>
  <si>
    <t>Cultivated Crops</t>
  </si>
  <si>
    <t>Woody Wetlands</t>
  </si>
  <si>
    <t>Locator</t>
  </si>
  <si>
    <t>(sq m)</t>
  </si>
  <si>
    <t>0305</t>
  </si>
  <si>
    <t>0307</t>
  </si>
  <si>
    <t>0308</t>
  </si>
  <si>
    <t>0309</t>
  </si>
  <si>
    <t>0311</t>
  </si>
  <si>
    <t>0317</t>
  </si>
  <si>
    <t>0321</t>
  </si>
  <si>
    <t>0322</t>
  </si>
  <si>
    <t>0430</t>
  </si>
  <si>
    <t>0434</t>
  </si>
  <si>
    <t>0438</t>
  </si>
  <si>
    <t>0440</t>
  </si>
  <si>
    <t>0442</t>
  </si>
  <si>
    <t>0444</t>
  </si>
  <si>
    <t>0446</t>
  </si>
  <si>
    <t>0450</t>
  </si>
  <si>
    <t>0456</t>
  </si>
  <si>
    <t>0470</t>
  </si>
  <si>
    <t>0474</t>
  </si>
  <si>
    <t>0478</t>
  </si>
  <si>
    <t>0484</t>
  </si>
  <si>
    <t>0486</t>
  </si>
  <si>
    <t>0498</t>
  </si>
  <si>
    <t>0631</t>
  </si>
  <si>
    <t>0632</t>
  </si>
  <si>
    <t>3106</t>
  </si>
  <si>
    <t>0450CC</t>
  </si>
  <si>
    <t>0456A</t>
  </si>
  <si>
    <t>0484A</t>
  </si>
  <si>
    <t>A315</t>
  </si>
  <si>
    <t>A319</t>
  </si>
  <si>
    <t>A320</t>
  </si>
  <si>
    <t>A432</t>
  </si>
  <si>
    <t>A438</t>
  </si>
  <si>
    <t>A456</t>
  </si>
  <si>
    <t>A499</t>
  </si>
  <si>
    <t>A617</t>
  </si>
  <si>
    <t>A620</t>
  </si>
  <si>
    <t>A631</t>
  </si>
  <si>
    <t>A632</t>
  </si>
  <si>
    <t>A670</t>
  </si>
  <si>
    <t>A680</t>
  </si>
  <si>
    <t>A685</t>
  </si>
  <si>
    <t>A687</t>
  </si>
  <si>
    <t>A690</t>
  </si>
  <si>
    <t>AMES_1</t>
  </si>
  <si>
    <t>B319</t>
  </si>
  <si>
    <t>B484</t>
  </si>
  <si>
    <t>B499</t>
  </si>
  <si>
    <t>BB470</t>
  </si>
  <si>
    <t>BSE_1MUDMTNRD</t>
  </si>
  <si>
    <t>C320</t>
  </si>
  <si>
    <t>C370</t>
  </si>
  <si>
    <t>C446</t>
  </si>
  <si>
    <t>C484</t>
  </si>
  <si>
    <t>CHERRY_1</t>
  </si>
  <si>
    <t>D320</t>
  </si>
  <si>
    <t>D444</t>
  </si>
  <si>
    <t>D474</t>
  </si>
  <si>
    <t>F321</t>
  </si>
  <si>
    <t>FF321</t>
  </si>
  <si>
    <t>G320</t>
  </si>
  <si>
    <t>GRIFFIN</t>
  </si>
  <si>
    <t>HARRIS_1</t>
  </si>
  <si>
    <t>J370</t>
  </si>
  <si>
    <t>J484</t>
  </si>
  <si>
    <t>KSHZ06</t>
  </si>
  <si>
    <t>KTHA01</t>
  </si>
  <si>
    <t>KTHA02</t>
  </si>
  <si>
    <t>KTHA03</t>
  </si>
  <si>
    <t>LSIN1</t>
  </si>
  <si>
    <t>LSIN9</t>
  </si>
  <si>
    <t>MFK_SNQ</t>
  </si>
  <si>
    <t>N484</t>
  </si>
  <si>
    <t>N484A</t>
  </si>
  <si>
    <t>NFK_SNQ</t>
  </si>
  <si>
    <t>PATTER_3</t>
  </si>
  <si>
    <t>RAGING_MTH</t>
  </si>
  <si>
    <t>S478</t>
  </si>
  <si>
    <t>S484</t>
  </si>
  <si>
    <t>SFK_SNQ</t>
  </si>
  <si>
    <t>SKYKOMISH</t>
  </si>
  <si>
    <t>SNQDUVALL</t>
  </si>
  <si>
    <t>TOLT_MTH</t>
  </si>
  <si>
    <t>VA12A</t>
  </si>
  <si>
    <t>VA23A</t>
  </si>
  <si>
    <t>VA37A</t>
  </si>
  <si>
    <t>VA41A</t>
  </si>
  <si>
    <t>VA42A</t>
  </si>
  <si>
    <t>VA45A</t>
  </si>
  <si>
    <t>VA65A</t>
  </si>
  <si>
    <t>X438</t>
  </si>
  <si>
    <t>X630</t>
  </si>
  <si>
    <t>Emergent Herbaceous Wetlands</t>
  </si>
  <si>
    <t>TOTAL</t>
  </si>
  <si>
    <t>(sq. m)</t>
  </si>
  <si>
    <t>(sq km)</t>
  </si>
  <si>
    <t>Duwamish</t>
  </si>
  <si>
    <t>Green</t>
  </si>
  <si>
    <t>Springbrook</t>
  </si>
  <si>
    <t>Crisp</t>
  </si>
  <si>
    <t>Newaukum</t>
  </si>
  <si>
    <t>Lyon</t>
  </si>
  <si>
    <t>Thornton</t>
  </si>
  <si>
    <t>Cedar</t>
  </si>
  <si>
    <t>May</t>
  </si>
  <si>
    <t>Coal</t>
  </si>
  <si>
    <t>Kelsey</t>
  </si>
  <si>
    <t>Juanita</t>
  </si>
  <si>
    <t>Sammamish</t>
  </si>
  <si>
    <t>Forbes</t>
  </si>
  <si>
    <t>Swamp</t>
  </si>
  <si>
    <t>North</t>
  </si>
  <si>
    <t>Little Bear</t>
  </si>
  <si>
    <t>Bear</t>
  </si>
  <si>
    <t>Fairweather</t>
  </si>
  <si>
    <t>Issaquah</t>
  </si>
  <si>
    <t>Mill</t>
  </si>
  <si>
    <t>Soos</t>
  </si>
  <si>
    <t>McAleer</t>
  </si>
  <si>
    <t>Cochran Springs</t>
  </si>
  <si>
    <t>Lewis</t>
  </si>
  <si>
    <t>Idylwood</t>
  </si>
  <si>
    <t>Laughing Jacobs</t>
  </si>
  <si>
    <t>Pine Lake</t>
  </si>
  <si>
    <t>Ebright</t>
  </si>
  <si>
    <t>Zackuse</t>
  </si>
  <si>
    <t>Eden</t>
  </si>
  <si>
    <t>Ames Creek</t>
  </si>
  <si>
    <t>Evans</t>
  </si>
  <si>
    <t>Yarrow</t>
  </si>
  <si>
    <t>Boise</t>
  </si>
  <si>
    <t>Covington</t>
  </si>
  <si>
    <t>Longfellow</t>
  </si>
  <si>
    <t>Cherry Creek</t>
  </si>
  <si>
    <t>Jenkins</t>
  </si>
  <si>
    <t>Little Soos</t>
  </si>
  <si>
    <t>Griffin Creek</t>
  </si>
  <si>
    <t>Harris Creek</t>
  </si>
  <si>
    <t>Pipers</t>
  </si>
  <si>
    <t>Venema</t>
  </si>
  <si>
    <t>Rock</t>
  </si>
  <si>
    <t>Ravensdale</t>
  </si>
  <si>
    <t>Snoqualmie - Middle Fork</t>
  </si>
  <si>
    <t>Cottage Lake Creek</t>
  </si>
  <si>
    <t>Snoqualmie - North Fork</t>
  </si>
  <si>
    <t>Patterson Creek</t>
  </si>
  <si>
    <t>Raging River</t>
  </si>
  <si>
    <t>Snoqualmie - South Fork</t>
  </si>
  <si>
    <t>Skykomish</t>
  </si>
  <si>
    <t>Snoqualmie</t>
  </si>
  <si>
    <t>Tolt River</t>
  </si>
  <si>
    <t>Shinglemill</t>
  </si>
  <si>
    <t>Christensen</t>
  </si>
  <si>
    <t>Tahlequah</t>
  </si>
  <si>
    <t>Fisher</t>
  </si>
  <si>
    <t>Judd</t>
  </si>
  <si>
    <t>Mileta</t>
  </si>
  <si>
    <t>Gorsuch</t>
  </si>
  <si>
    <t>Tibbetts</t>
  </si>
  <si>
    <t>Stream</t>
  </si>
  <si>
    <t>Forest, Total</t>
  </si>
  <si>
    <t>Wetlands, Total</t>
  </si>
  <si>
    <t>Agriculture, Total</t>
  </si>
  <si>
    <t>Developed, All Intensities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</si>
</sst>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2" xfId="0" applyFont="1" applyBorder="1"/>
    <xf numFmtId="0" fontId="2" fillId="0" borderId="0" xfId="0" applyFont="1"/>
    <xf numFmtId="0" fontId="1" fillId="0" borderId="1" xfId="0" applyFont="1" applyBorder="1" applyAlignment="1">
      <alignment wrapText="1"/>
    </xf>
    <xf numFmtId="2" fontId="0" fillId="0" borderId="0" xfId="0" applyNumberFormat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3B9C-F0A7-40D0-A9F5-705AEC2E6A72}">
  <dimension ref="A1:T95"/>
  <sheetViews>
    <sheetView topLeftCell="A5" workbookViewId="0">
      <selection activeCell="O11" sqref="O11"/>
    </sheetView>
  </sheetViews>
  <sheetFormatPr defaultRowHeight="15" x14ac:dyDescent="0.25"/>
  <cols>
    <col min="2" max="2" width="17.28515625" customWidth="1"/>
    <col min="3" max="3" width="11.85546875" bestFit="1" customWidth="1"/>
    <col min="4" max="4" width="9.5703125" bestFit="1" customWidth="1"/>
    <col min="5" max="5" width="11.42578125" bestFit="1" customWidth="1"/>
    <col min="6" max="6" width="15.42578125" bestFit="1" customWidth="1"/>
    <col min="7" max="7" width="11.28515625" bestFit="1" customWidth="1"/>
    <col min="8" max="8" width="15.85546875" bestFit="1" customWidth="1"/>
    <col min="9" max="9" width="11.42578125" bestFit="1" customWidth="1"/>
    <col min="10" max="10" width="10.28515625" bestFit="1" customWidth="1"/>
    <col min="11" max="11" width="11" bestFit="1" customWidth="1"/>
    <col min="12" max="12" width="12.7109375" bestFit="1" customWidth="1"/>
    <col min="13" max="13" width="11.85546875" bestFit="1" customWidth="1"/>
    <col min="14" max="14" width="16" customWidth="1"/>
    <col min="15" max="15" width="11.85546875" bestFit="1" customWidth="1"/>
    <col min="16" max="16" width="15.7109375" bestFit="1" customWidth="1"/>
    <col min="17" max="17" width="9.5703125" bestFit="1" customWidth="1"/>
    <col min="18" max="18" width="11.42578125" bestFit="1" customWidth="1"/>
    <col min="19" max="19" width="11" bestFit="1" customWidth="1"/>
    <col min="20" max="20" width="10" bestFit="1" customWidth="1"/>
  </cols>
  <sheetData>
    <row r="1" spans="1:20" s="7" customFormat="1" ht="45" x14ac:dyDescent="0.25">
      <c r="A1" s="6"/>
      <c r="B1" s="1"/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110</v>
      </c>
      <c r="S1" s="4" t="s">
        <v>111</v>
      </c>
      <c r="T1" s="4" t="s">
        <v>111</v>
      </c>
    </row>
    <row r="2" spans="1:20" ht="15.75" thickBot="1" x14ac:dyDescent="0.3">
      <c r="A2" s="2" t="s">
        <v>15</v>
      </c>
      <c r="B2" s="2" t="s">
        <v>177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  <c r="Q2" s="2" t="s">
        <v>16</v>
      </c>
      <c r="R2" s="2" t="s">
        <v>16</v>
      </c>
      <c r="S2" s="2" t="s">
        <v>112</v>
      </c>
      <c r="T2" s="2" t="s">
        <v>113</v>
      </c>
    </row>
    <row r="3" spans="1:20" x14ac:dyDescent="0.25">
      <c r="A3" t="s">
        <v>17</v>
      </c>
      <c r="B3" s="8" t="s">
        <v>114</v>
      </c>
      <c r="C3" s="3">
        <v>11704500</v>
      </c>
      <c r="D3" s="3">
        <v>0</v>
      </c>
      <c r="E3" s="3">
        <v>85364100</v>
      </c>
      <c r="F3" s="3">
        <v>106817400</v>
      </c>
      <c r="G3" s="3">
        <v>92521800</v>
      </c>
      <c r="H3" s="3">
        <v>61540200</v>
      </c>
      <c r="I3" s="3">
        <v>3024900</v>
      </c>
      <c r="J3" s="3">
        <v>24112800</v>
      </c>
      <c r="K3" s="3">
        <v>576055800</v>
      </c>
      <c r="L3" s="3">
        <v>119904300</v>
      </c>
      <c r="M3" s="3">
        <v>52687800</v>
      </c>
      <c r="N3" s="3">
        <v>14349600</v>
      </c>
      <c r="O3" s="3">
        <v>53533800</v>
      </c>
      <c r="P3" s="3">
        <v>935100</v>
      </c>
      <c r="Q3" s="3">
        <v>21218400</v>
      </c>
      <c r="R3" s="3">
        <v>6681600</v>
      </c>
      <c r="S3">
        <f>SUM(C3:R3)</f>
        <v>1230452100</v>
      </c>
      <c r="T3">
        <f>S3/1000000</f>
        <v>1230.4521</v>
      </c>
    </row>
    <row r="4" spans="1:20" x14ac:dyDescent="0.25">
      <c r="A4" t="s">
        <v>18</v>
      </c>
      <c r="B4" s="8" t="s">
        <v>114</v>
      </c>
      <c r="C4" s="3">
        <v>10776600</v>
      </c>
      <c r="D4" s="3">
        <v>0</v>
      </c>
      <c r="E4" s="3">
        <v>84510000</v>
      </c>
      <c r="F4" s="3">
        <v>104629500</v>
      </c>
      <c r="G4" s="3">
        <v>86639400</v>
      </c>
      <c r="H4" s="3">
        <v>51052500</v>
      </c>
      <c r="I4" s="3">
        <v>2925900</v>
      </c>
      <c r="J4" s="3">
        <v>22765500</v>
      </c>
      <c r="K4" s="3">
        <v>575958600</v>
      </c>
      <c r="L4" s="3">
        <v>119633400</v>
      </c>
      <c r="M4" s="3">
        <v>52669800</v>
      </c>
      <c r="N4" s="3">
        <v>14319900</v>
      </c>
      <c r="O4" s="3">
        <v>53496900</v>
      </c>
      <c r="P4" s="3">
        <v>935100</v>
      </c>
      <c r="Q4" s="3">
        <v>21119400</v>
      </c>
      <c r="R4" s="3">
        <v>6622200</v>
      </c>
      <c r="S4">
        <f t="shared" ref="S4:S67" si="0">SUM(C4:R4)</f>
        <v>1208054700</v>
      </c>
      <c r="T4">
        <f t="shared" ref="T4:T67" si="1">S4/1000000</f>
        <v>1208.0546999999999</v>
      </c>
    </row>
    <row r="5" spans="1:20" x14ac:dyDescent="0.25">
      <c r="A5" t="s">
        <v>19</v>
      </c>
      <c r="B5" s="8" t="s">
        <v>114</v>
      </c>
      <c r="C5" s="3">
        <v>10452600</v>
      </c>
      <c r="D5" s="3">
        <v>0</v>
      </c>
      <c r="E5" s="3">
        <v>83769300</v>
      </c>
      <c r="F5" s="3">
        <v>102679200</v>
      </c>
      <c r="G5" s="3">
        <v>83718000</v>
      </c>
      <c r="H5" s="3">
        <v>47334600</v>
      </c>
      <c r="I5" s="3">
        <v>2905200</v>
      </c>
      <c r="J5" s="3">
        <v>22594500</v>
      </c>
      <c r="K5" s="3">
        <v>575943300</v>
      </c>
      <c r="L5" s="3">
        <v>119516400</v>
      </c>
      <c r="M5" s="3">
        <v>52654500</v>
      </c>
      <c r="N5" s="3">
        <v>14313600</v>
      </c>
      <c r="O5" s="3">
        <v>53496900</v>
      </c>
      <c r="P5" s="3">
        <v>935100</v>
      </c>
      <c r="Q5" s="3">
        <v>21114000</v>
      </c>
      <c r="R5" s="3">
        <v>6587100</v>
      </c>
      <c r="S5">
        <f t="shared" si="0"/>
        <v>1198014300</v>
      </c>
      <c r="T5">
        <f t="shared" si="1"/>
        <v>1198.0143</v>
      </c>
    </row>
    <row r="6" spans="1:20" x14ac:dyDescent="0.25">
      <c r="A6" t="s">
        <v>20</v>
      </c>
      <c r="B6" s="8" t="s">
        <v>114</v>
      </c>
      <c r="C6" s="3">
        <v>10368000</v>
      </c>
      <c r="D6" s="3">
        <v>0</v>
      </c>
      <c r="E6" s="3">
        <v>83127600</v>
      </c>
      <c r="F6" s="3">
        <v>100945800</v>
      </c>
      <c r="G6" s="3">
        <v>81648900</v>
      </c>
      <c r="H6" s="3">
        <v>45490500</v>
      </c>
      <c r="I6" s="3">
        <v>2900700</v>
      </c>
      <c r="J6" s="3">
        <v>22410900</v>
      </c>
      <c r="K6" s="3">
        <v>575933400</v>
      </c>
      <c r="L6" s="3">
        <v>119451600</v>
      </c>
      <c r="M6" s="3">
        <v>52650000</v>
      </c>
      <c r="N6" s="3">
        <v>14309100</v>
      </c>
      <c r="O6" s="3">
        <v>53484300</v>
      </c>
      <c r="P6" s="3">
        <v>935100</v>
      </c>
      <c r="Q6" s="3">
        <v>21113100</v>
      </c>
      <c r="R6" s="3">
        <v>6560100</v>
      </c>
      <c r="S6">
        <f t="shared" si="0"/>
        <v>1191329100</v>
      </c>
      <c r="T6">
        <f t="shared" si="1"/>
        <v>1191.3290999999999</v>
      </c>
    </row>
    <row r="7" spans="1:20" x14ac:dyDescent="0.25">
      <c r="A7" t="s">
        <v>21</v>
      </c>
      <c r="B7" s="8" t="s">
        <v>115</v>
      </c>
      <c r="C7" s="3">
        <v>10134000</v>
      </c>
      <c r="D7" s="3">
        <v>0</v>
      </c>
      <c r="E7" s="3">
        <v>76920300</v>
      </c>
      <c r="F7" s="3">
        <v>85163400</v>
      </c>
      <c r="G7" s="3">
        <v>56002500</v>
      </c>
      <c r="H7" s="3">
        <v>21255300</v>
      </c>
      <c r="I7" s="3">
        <v>2589300</v>
      </c>
      <c r="J7" s="3">
        <v>21204900</v>
      </c>
      <c r="K7" s="3">
        <v>575546400</v>
      </c>
      <c r="L7" s="3">
        <v>118032300</v>
      </c>
      <c r="M7" s="3">
        <v>52496100</v>
      </c>
      <c r="N7" s="3">
        <v>14191200</v>
      </c>
      <c r="O7" s="3">
        <v>52744500</v>
      </c>
      <c r="P7" s="3">
        <v>904500</v>
      </c>
      <c r="Q7" s="3">
        <v>20146500</v>
      </c>
      <c r="R7" s="3">
        <v>5671800</v>
      </c>
      <c r="S7">
        <f t="shared" si="0"/>
        <v>1113003000</v>
      </c>
      <c r="T7">
        <f t="shared" si="1"/>
        <v>1113.0029999999999</v>
      </c>
    </row>
    <row r="8" spans="1:20" x14ac:dyDescent="0.25">
      <c r="A8" t="s">
        <v>22</v>
      </c>
      <c r="B8" s="8" t="s">
        <v>116</v>
      </c>
      <c r="C8" s="3">
        <v>110700</v>
      </c>
      <c r="D8" s="3">
        <v>0</v>
      </c>
      <c r="E8" s="3">
        <v>4294800</v>
      </c>
      <c r="F8" s="3">
        <v>10206000</v>
      </c>
      <c r="G8" s="3">
        <v>18390600</v>
      </c>
      <c r="H8" s="3">
        <v>19302300</v>
      </c>
      <c r="I8" s="3">
        <v>45900</v>
      </c>
      <c r="J8" s="3">
        <v>784800</v>
      </c>
      <c r="K8" s="3">
        <v>354600</v>
      </c>
      <c r="L8" s="3">
        <v>1307700</v>
      </c>
      <c r="M8" s="3">
        <v>108000</v>
      </c>
      <c r="N8" s="3">
        <v>42300</v>
      </c>
      <c r="O8" s="3">
        <v>667800</v>
      </c>
      <c r="P8" s="3">
        <v>30600</v>
      </c>
      <c r="Q8" s="3">
        <v>714600</v>
      </c>
      <c r="R8" s="3">
        <v>837900</v>
      </c>
      <c r="S8">
        <f t="shared" si="0"/>
        <v>57198600</v>
      </c>
      <c r="T8">
        <f t="shared" si="1"/>
        <v>57.198599999999999</v>
      </c>
    </row>
    <row r="9" spans="1:20" x14ac:dyDescent="0.25">
      <c r="A9" t="s">
        <v>23</v>
      </c>
      <c r="B9" s="8" t="s">
        <v>117</v>
      </c>
      <c r="C9" s="3">
        <v>45000</v>
      </c>
      <c r="D9" s="3">
        <v>0</v>
      </c>
      <c r="E9" s="3">
        <v>1224000</v>
      </c>
      <c r="F9" s="3">
        <v>1286100</v>
      </c>
      <c r="G9" s="3">
        <v>317700</v>
      </c>
      <c r="H9" s="3">
        <v>73800</v>
      </c>
      <c r="I9" s="3">
        <v>69300</v>
      </c>
      <c r="J9" s="3">
        <v>565200</v>
      </c>
      <c r="K9" s="3">
        <v>2731500</v>
      </c>
      <c r="L9" s="3">
        <v>3239100</v>
      </c>
      <c r="M9" s="3">
        <v>266400</v>
      </c>
      <c r="N9" s="3">
        <v>284400</v>
      </c>
      <c r="O9" s="3">
        <v>364500</v>
      </c>
      <c r="P9" s="3">
        <v>0</v>
      </c>
      <c r="Q9" s="3">
        <v>350100</v>
      </c>
      <c r="R9" s="3">
        <v>36000</v>
      </c>
      <c r="S9">
        <f t="shared" si="0"/>
        <v>10853100</v>
      </c>
      <c r="T9">
        <f t="shared" si="1"/>
        <v>10.8531</v>
      </c>
    </row>
    <row r="10" spans="1:20" x14ac:dyDescent="0.25">
      <c r="A10" t="s">
        <v>24</v>
      </c>
      <c r="B10" s="8" t="s">
        <v>118</v>
      </c>
      <c r="C10" s="3">
        <v>153900</v>
      </c>
      <c r="D10" s="3">
        <v>0</v>
      </c>
      <c r="E10" s="3">
        <v>8053200</v>
      </c>
      <c r="F10" s="3">
        <v>9444600</v>
      </c>
      <c r="G10" s="3">
        <v>2748600</v>
      </c>
      <c r="H10" s="3">
        <v>641700</v>
      </c>
      <c r="I10" s="3">
        <v>76500</v>
      </c>
      <c r="J10" s="3">
        <v>1536300</v>
      </c>
      <c r="K10" s="3">
        <v>9025200</v>
      </c>
      <c r="L10" s="3">
        <v>12444300</v>
      </c>
      <c r="M10" s="3">
        <v>1725300</v>
      </c>
      <c r="N10" s="3">
        <v>883800</v>
      </c>
      <c r="O10" s="3">
        <v>28988100</v>
      </c>
      <c r="P10" s="3">
        <v>40500</v>
      </c>
      <c r="Q10" s="3">
        <v>3385800</v>
      </c>
      <c r="R10" s="3">
        <v>1259100</v>
      </c>
      <c r="S10">
        <f t="shared" si="0"/>
        <v>80406900</v>
      </c>
      <c r="T10">
        <f>S10/1000000</f>
        <v>80.406899999999993</v>
      </c>
    </row>
    <row r="11" spans="1:20" x14ac:dyDescent="0.25">
      <c r="A11" t="s">
        <v>25</v>
      </c>
      <c r="B11" s="8" t="s">
        <v>119</v>
      </c>
      <c r="C11" s="3">
        <v>900</v>
      </c>
      <c r="D11" s="3">
        <v>0</v>
      </c>
      <c r="E11" s="3">
        <v>953100</v>
      </c>
      <c r="F11" s="3">
        <v>3906900</v>
      </c>
      <c r="G11" s="3">
        <v>3219300</v>
      </c>
      <c r="H11" s="3">
        <v>463500</v>
      </c>
      <c r="I11" s="3">
        <v>3600</v>
      </c>
      <c r="J11" s="3">
        <v>89100</v>
      </c>
      <c r="K11" s="3">
        <v>456300</v>
      </c>
      <c r="L11" s="3">
        <v>376200</v>
      </c>
      <c r="M11" s="3">
        <v>5400</v>
      </c>
      <c r="N11" s="3">
        <v>0</v>
      </c>
      <c r="O11" s="3">
        <v>9000</v>
      </c>
      <c r="P11" s="3">
        <v>0</v>
      </c>
      <c r="Q11" s="3">
        <v>27000</v>
      </c>
      <c r="R11" s="3">
        <v>0</v>
      </c>
      <c r="S11">
        <f t="shared" si="0"/>
        <v>9510300</v>
      </c>
      <c r="T11">
        <f t="shared" si="1"/>
        <v>9.5103000000000009</v>
      </c>
    </row>
    <row r="12" spans="1:20" x14ac:dyDescent="0.25">
      <c r="A12" t="s">
        <v>26</v>
      </c>
      <c r="B12" s="8" t="s">
        <v>120</v>
      </c>
      <c r="C12" s="3">
        <v>17100</v>
      </c>
      <c r="D12" s="3">
        <v>0</v>
      </c>
      <c r="E12" s="3">
        <v>1696500</v>
      </c>
      <c r="F12" s="3">
        <v>10914300</v>
      </c>
      <c r="G12" s="3">
        <v>12960000</v>
      </c>
      <c r="H12" s="3">
        <v>4284900</v>
      </c>
      <c r="I12" s="3">
        <v>51300</v>
      </c>
      <c r="J12" s="3">
        <v>14400</v>
      </c>
      <c r="K12" s="3">
        <v>455400</v>
      </c>
      <c r="L12" s="3">
        <v>74700</v>
      </c>
      <c r="M12" s="3">
        <v>14400</v>
      </c>
      <c r="N12" s="3">
        <v>2700</v>
      </c>
      <c r="O12" s="3">
        <v>26100</v>
      </c>
      <c r="P12" s="3">
        <v>0</v>
      </c>
      <c r="Q12" s="3">
        <v>67500</v>
      </c>
      <c r="R12" s="3">
        <v>0</v>
      </c>
      <c r="S12">
        <f t="shared" si="0"/>
        <v>30579300</v>
      </c>
      <c r="T12">
        <f t="shared" si="1"/>
        <v>30.5793</v>
      </c>
    </row>
    <row r="13" spans="1:20" x14ac:dyDescent="0.25">
      <c r="A13" t="s">
        <v>27</v>
      </c>
      <c r="B13" s="8" t="s">
        <v>121</v>
      </c>
      <c r="C13" s="3">
        <v>9283500</v>
      </c>
      <c r="D13" s="3">
        <v>0</v>
      </c>
      <c r="E13" s="3">
        <v>29389500</v>
      </c>
      <c r="F13" s="3">
        <v>26344800</v>
      </c>
      <c r="G13" s="3">
        <v>13950000</v>
      </c>
      <c r="H13" s="3">
        <v>2358900</v>
      </c>
      <c r="I13" s="3">
        <v>1051200</v>
      </c>
      <c r="J13" s="3">
        <v>6964200</v>
      </c>
      <c r="K13" s="3">
        <v>308236500</v>
      </c>
      <c r="L13" s="3">
        <v>65610900</v>
      </c>
      <c r="M13" s="3">
        <v>17493300</v>
      </c>
      <c r="N13" s="3">
        <v>2741400</v>
      </c>
      <c r="O13" s="3">
        <v>2839500</v>
      </c>
      <c r="P13" s="3">
        <v>0</v>
      </c>
      <c r="Q13" s="3">
        <v>7019100</v>
      </c>
      <c r="R13" s="3">
        <v>680400</v>
      </c>
      <c r="S13">
        <f t="shared" si="0"/>
        <v>493963200</v>
      </c>
      <c r="T13">
        <f t="shared" si="1"/>
        <v>493.96319999999997</v>
      </c>
    </row>
    <row r="14" spans="1:20" x14ac:dyDescent="0.25">
      <c r="A14" t="s">
        <v>28</v>
      </c>
      <c r="B14" s="8" t="s">
        <v>122</v>
      </c>
      <c r="C14" s="3">
        <v>203400</v>
      </c>
      <c r="D14" s="3">
        <v>0</v>
      </c>
      <c r="E14" s="3">
        <v>5217300</v>
      </c>
      <c r="F14" s="3">
        <v>7042500</v>
      </c>
      <c r="G14" s="3">
        <v>4536900</v>
      </c>
      <c r="H14" s="3">
        <v>544500</v>
      </c>
      <c r="I14" s="3">
        <v>29700</v>
      </c>
      <c r="J14" s="3">
        <v>3066300</v>
      </c>
      <c r="K14" s="3">
        <v>1723500</v>
      </c>
      <c r="L14" s="3">
        <v>9665100</v>
      </c>
      <c r="M14" s="3">
        <v>336600</v>
      </c>
      <c r="N14" s="3">
        <v>100800</v>
      </c>
      <c r="O14" s="3">
        <v>311400</v>
      </c>
      <c r="P14" s="3">
        <v>0</v>
      </c>
      <c r="Q14" s="3">
        <v>477000</v>
      </c>
      <c r="R14" s="3">
        <v>171900</v>
      </c>
      <c r="S14">
        <f t="shared" si="0"/>
        <v>33426900</v>
      </c>
      <c r="T14">
        <f t="shared" si="1"/>
        <v>33.426900000000003</v>
      </c>
    </row>
    <row r="15" spans="1:20" x14ac:dyDescent="0.25">
      <c r="A15" t="s">
        <v>29</v>
      </c>
      <c r="B15" s="8" t="s">
        <v>123</v>
      </c>
      <c r="C15" s="3">
        <v>2700</v>
      </c>
      <c r="D15" s="3">
        <v>0</v>
      </c>
      <c r="E15" s="3">
        <v>1962900</v>
      </c>
      <c r="F15" s="3">
        <v>4005000</v>
      </c>
      <c r="G15" s="3">
        <v>2474100</v>
      </c>
      <c r="H15" s="3">
        <v>337500</v>
      </c>
      <c r="I15" s="3">
        <v>18000</v>
      </c>
      <c r="J15" s="3">
        <v>1771200</v>
      </c>
      <c r="K15" s="3">
        <v>197100</v>
      </c>
      <c r="L15" s="3">
        <v>4478400</v>
      </c>
      <c r="M15" s="3">
        <v>68400</v>
      </c>
      <c r="N15" s="3">
        <v>81000</v>
      </c>
      <c r="O15" s="3">
        <v>18900</v>
      </c>
      <c r="P15" s="3">
        <v>0</v>
      </c>
      <c r="Q15" s="3">
        <v>10800</v>
      </c>
      <c r="R15" s="3">
        <v>0</v>
      </c>
      <c r="S15">
        <f t="shared" si="0"/>
        <v>15426000</v>
      </c>
      <c r="T15">
        <f t="shared" si="1"/>
        <v>15.426</v>
      </c>
    </row>
    <row r="16" spans="1:20" x14ac:dyDescent="0.25">
      <c r="A16" t="s">
        <v>30</v>
      </c>
      <c r="B16" s="8" t="s">
        <v>124</v>
      </c>
      <c r="C16" s="3">
        <v>42300</v>
      </c>
      <c r="D16" s="3">
        <v>0</v>
      </c>
      <c r="E16" s="3">
        <v>3749400</v>
      </c>
      <c r="F16" s="3">
        <v>10947600</v>
      </c>
      <c r="G16" s="3">
        <v>11071800</v>
      </c>
      <c r="H16" s="3">
        <v>6189300</v>
      </c>
      <c r="I16" s="3">
        <v>64800</v>
      </c>
      <c r="J16" s="3">
        <v>659700</v>
      </c>
      <c r="K16" s="3">
        <v>2021400</v>
      </c>
      <c r="L16" s="3">
        <v>855900</v>
      </c>
      <c r="M16" s="3">
        <v>54900</v>
      </c>
      <c r="N16" s="3">
        <v>4500</v>
      </c>
      <c r="O16" s="3">
        <v>102600</v>
      </c>
      <c r="P16" s="3">
        <v>0</v>
      </c>
      <c r="Q16" s="3">
        <v>589500</v>
      </c>
      <c r="R16" s="3">
        <v>233100</v>
      </c>
      <c r="S16">
        <f t="shared" si="0"/>
        <v>36586800</v>
      </c>
      <c r="T16">
        <f t="shared" si="1"/>
        <v>36.586799999999997</v>
      </c>
    </row>
    <row r="17" spans="1:20" x14ac:dyDescent="0.25">
      <c r="A17" t="s">
        <v>31</v>
      </c>
      <c r="B17" s="8" t="s">
        <v>125</v>
      </c>
      <c r="C17" s="3">
        <v>9900</v>
      </c>
      <c r="D17" s="3">
        <v>0</v>
      </c>
      <c r="E17" s="3">
        <v>1115100</v>
      </c>
      <c r="F17" s="3">
        <v>5409000</v>
      </c>
      <c r="G17" s="3">
        <v>6678900</v>
      </c>
      <c r="H17" s="3">
        <v>2007900</v>
      </c>
      <c r="I17" s="3">
        <v>25200</v>
      </c>
      <c r="J17" s="3">
        <v>536400</v>
      </c>
      <c r="K17" s="3">
        <v>336600</v>
      </c>
      <c r="L17" s="3">
        <v>359100</v>
      </c>
      <c r="M17" s="3">
        <v>17100</v>
      </c>
      <c r="N17" s="3">
        <v>6300</v>
      </c>
      <c r="O17" s="3">
        <v>9000</v>
      </c>
      <c r="P17" s="3">
        <v>0</v>
      </c>
      <c r="Q17" s="3">
        <v>114300</v>
      </c>
      <c r="R17" s="3">
        <v>18000</v>
      </c>
      <c r="S17">
        <f t="shared" si="0"/>
        <v>16642800</v>
      </c>
      <c r="T17">
        <f t="shared" si="1"/>
        <v>16.642800000000001</v>
      </c>
    </row>
    <row r="18" spans="1:20" x14ac:dyDescent="0.25">
      <c r="A18" t="s">
        <v>32</v>
      </c>
      <c r="B18" s="8" t="s">
        <v>126</v>
      </c>
      <c r="C18" s="3">
        <v>21823200</v>
      </c>
      <c r="D18" s="3">
        <v>0</v>
      </c>
      <c r="E18" s="3">
        <v>93385800</v>
      </c>
      <c r="F18" s="3">
        <v>133097400</v>
      </c>
      <c r="G18" s="3">
        <v>100091700</v>
      </c>
      <c r="H18" s="3">
        <v>36288900</v>
      </c>
      <c r="I18" s="3">
        <v>2322000</v>
      </c>
      <c r="J18" s="3">
        <v>24791400</v>
      </c>
      <c r="K18" s="3">
        <v>69903000</v>
      </c>
      <c r="L18" s="3">
        <v>104222700</v>
      </c>
      <c r="M18" s="3">
        <v>5664600</v>
      </c>
      <c r="N18" s="3">
        <v>2961000</v>
      </c>
      <c r="O18" s="3">
        <v>10763100</v>
      </c>
      <c r="P18" s="3">
        <v>218700</v>
      </c>
      <c r="Q18" s="3">
        <v>15586200</v>
      </c>
      <c r="R18" s="3">
        <v>5243400</v>
      </c>
      <c r="S18">
        <f t="shared" si="0"/>
        <v>626363100</v>
      </c>
      <c r="T18">
        <f t="shared" si="1"/>
        <v>626.36310000000003</v>
      </c>
    </row>
    <row r="19" spans="1:20" x14ac:dyDescent="0.25">
      <c r="A19" t="s">
        <v>33</v>
      </c>
      <c r="B19" s="8" t="s">
        <v>127</v>
      </c>
      <c r="C19" s="3">
        <v>7200</v>
      </c>
      <c r="D19" s="3">
        <v>0</v>
      </c>
      <c r="E19" s="3">
        <v>844200</v>
      </c>
      <c r="F19" s="3">
        <v>3106800</v>
      </c>
      <c r="G19" s="3">
        <v>2172600</v>
      </c>
      <c r="H19" s="3">
        <v>792000</v>
      </c>
      <c r="I19" s="3">
        <v>5400</v>
      </c>
      <c r="J19" s="3">
        <v>304200</v>
      </c>
      <c r="K19" s="3">
        <v>79200</v>
      </c>
      <c r="L19" s="3">
        <v>133200</v>
      </c>
      <c r="M19" s="3">
        <v>17100</v>
      </c>
      <c r="N19" s="3">
        <v>900</v>
      </c>
      <c r="O19" s="3">
        <v>30600</v>
      </c>
      <c r="P19" s="3">
        <v>0</v>
      </c>
      <c r="Q19" s="3">
        <v>73800</v>
      </c>
      <c r="R19" s="3">
        <v>27000</v>
      </c>
      <c r="S19">
        <f t="shared" si="0"/>
        <v>7594200</v>
      </c>
      <c r="T19">
        <f t="shared" si="1"/>
        <v>7.5941999999999998</v>
      </c>
    </row>
    <row r="20" spans="1:20" x14ac:dyDescent="0.25">
      <c r="A20" t="s">
        <v>34</v>
      </c>
      <c r="B20" s="8" t="s">
        <v>128</v>
      </c>
      <c r="C20" s="3">
        <v>288000</v>
      </c>
      <c r="D20" s="3">
        <v>0</v>
      </c>
      <c r="E20" s="3">
        <v>7722900</v>
      </c>
      <c r="F20" s="3">
        <v>17644500</v>
      </c>
      <c r="G20" s="3">
        <v>21565800</v>
      </c>
      <c r="H20" s="3">
        <v>9994500</v>
      </c>
      <c r="I20" s="3">
        <v>83700</v>
      </c>
      <c r="J20" s="3">
        <v>1083600</v>
      </c>
      <c r="K20" s="3">
        <v>1102500</v>
      </c>
      <c r="L20" s="3">
        <v>1432800</v>
      </c>
      <c r="M20" s="3">
        <v>77400</v>
      </c>
      <c r="N20" s="3">
        <v>96300</v>
      </c>
      <c r="O20" s="3">
        <v>172800</v>
      </c>
      <c r="P20" s="3">
        <v>0</v>
      </c>
      <c r="Q20" s="3">
        <v>2088000</v>
      </c>
      <c r="R20" s="3">
        <v>264600</v>
      </c>
      <c r="S20">
        <f t="shared" si="0"/>
        <v>63617400</v>
      </c>
      <c r="T20">
        <f t="shared" si="1"/>
        <v>63.617400000000004</v>
      </c>
    </row>
    <row r="21" spans="1:20" x14ac:dyDescent="0.25">
      <c r="A21" t="s">
        <v>35</v>
      </c>
      <c r="B21" s="8" t="s">
        <v>129</v>
      </c>
      <c r="C21" s="3">
        <v>441000</v>
      </c>
      <c r="D21" s="3">
        <v>0</v>
      </c>
      <c r="E21" s="3">
        <v>10334700</v>
      </c>
      <c r="F21" s="3">
        <v>21042000</v>
      </c>
      <c r="G21" s="3">
        <v>24743700</v>
      </c>
      <c r="H21" s="3">
        <v>8613000</v>
      </c>
      <c r="I21" s="3">
        <v>68400</v>
      </c>
      <c r="J21" s="3">
        <v>1221300</v>
      </c>
      <c r="K21" s="3">
        <v>1980000</v>
      </c>
      <c r="L21" s="3">
        <v>2217600</v>
      </c>
      <c r="M21" s="3">
        <v>83700</v>
      </c>
      <c r="N21" s="3">
        <v>54900</v>
      </c>
      <c r="O21" s="3">
        <v>63000</v>
      </c>
      <c r="P21" s="3">
        <v>0</v>
      </c>
      <c r="Q21" s="3">
        <v>2297700</v>
      </c>
      <c r="R21" s="3">
        <v>854100</v>
      </c>
      <c r="S21">
        <f t="shared" si="0"/>
        <v>74015100</v>
      </c>
      <c r="T21">
        <f t="shared" si="1"/>
        <v>74.015100000000004</v>
      </c>
    </row>
    <row r="22" spans="1:20" x14ac:dyDescent="0.25">
      <c r="A22" t="s">
        <v>36</v>
      </c>
      <c r="B22" s="8" t="s">
        <v>130</v>
      </c>
      <c r="C22" s="3">
        <v>11700</v>
      </c>
      <c r="D22" s="3">
        <v>0</v>
      </c>
      <c r="E22" s="3">
        <v>10130400</v>
      </c>
      <c r="F22" s="3">
        <v>9277200</v>
      </c>
      <c r="G22" s="3">
        <v>4982400</v>
      </c>
      <c r="H22" s="3">
        <v>2504700</v>
      </c>
      <c r="I22" s="3">
        <v>38700</v>
      </c>
      <c r="J22" s="3">
        <v>862200</v>
      </c>
      <c r="K22" s="3">
        <v>4891500</v>
      </c>
      <c r="L22" s="3">
        <v>4608000</v>
      </c>
      <c r="M22" s="3">
        <v>272700</v>
      </c>
      <c r="N22" s="3">
        <v>88200</v>
      </c>
      <c r="O22" s="3">
        <v>108900</v>
      </c>
      <c r="P22" s="3">
        <v>0</v>
      </c>
      <c r="Q22" s="3">
        <v>1134000</v>
      </c>
      <c r="R22" s="3">
        <v>50400</v>
      </c>
      <c r="S22">
        <f t="shared" si="0"/>
        <v>38961000</v>
      </c>
      <c r="T22">
        <f t="shared" si="1"/>
        <v>38.960999999999999</v>
      </c>
    </row>
    <row r="23" spans="1:20" x14ac:dyDescent="0.25">
      <c r="A23" t="s">
        <v>37</v>
      </c>
      <c r="B23" s="8" t="s">
        <v>131</v>
      </c>
      <c r="C23" s="3">
        <v>756900</v>
      </c>
      <c r="D23" s="3">
        <v>0</v>
      </c>
      <c r="E23" s="3">
        <v>28539900</v>
      </c>
      <c r="F23" s="3">
        <v>29476800</v>
      </c>
      <c r="G23" s="3">
        <v>8629200</v>
      </c>
      <c r="H23" s="3">
        <v>2574900</v>
      </c>
      <c r="I23" s="3">
        <v>465300</v>
      </c>
      <c r="J23" s="3">
        <v>4367700</v>
      </c>
      <c r="K23" s="3">
        <v>17668800</v>
      </c>
      <c r="L23" s="3">
        <v>20305800</v>
      </c>
      <c r="M23" s="3">
        <v>1035900</v>
      </c>
      <c r="N23" s="3">
        <v>538200</v>
      </c>
      <c r="O23" s="3">
        <v>2014200</v>
      </c>
      <c r="P23" s="3">
        <v>0</v>
      </c>
      <c r="Q23" s="3">
        <v>5447700</v>
      </c>
      <c r="R23" s="3">
        <v>1710000</v>
      </c>
      <c r="S23">
        <f t="shared" si="0"/>
        <v>123531300</v>
      </c>
      <c r="T23">
        <f t="shared" si="1"/>
        <v>123.5313</v>
      </c>
    </row>
    <row r="24" spans="1:20" x14ac:dyDescent="0.25">
      <c r="A24" t="s">
        <v>38</v>
      </c>
      <c r="B24" s="8" t="s">
        <v>126</v>
      </c>
      <c r="C24" s="3">
        <v>20294100</v>
      </c>
      <c r="D24" s="3">
        <v>0</v>
      </c>
      <c r="E24" s="3">
        <v>27666000</v>
      </c>
      <c r="F24" s="3">
        <v>38025000</v>
      </c>
      <c r="G24" s="3">
        <v>25268400</v>
      </c>
      <c r="H24" s="3">
        <v>5925600</v>
      </c>
      <c r="I24" s="3">
        <v>1521900</v>
      </c>
      <c r="J24" s="3">
        <v>14337900</v>
      </c>
      <c r="K24" s="3">
        <v>41286600</v>
      </c>
      <c r="L24" s="3">
        <v>72078300</v>
      </c>
      <c r="M24" s="3">
        <v>3929400</v>
      </c>
      <c r="N24" s="3">
        <v>2025000</v>
      </c>
      <c r="O24" s="3">
        <v>4650300</v>
      </c>
      <c r="P24" s="3">
        <v>0</v>
      </c>
      <c r="Q24" s="3">
        <v>4199400</v>
      </c>
      <c r="R24" s="3">
        <v>1751400</v>
      </c>
      <c r="S24">
        <f t="shared" si="0"/>
        <v>262959300</v>
      </c>
      <c r="T24">
        <f t="shared" si="1"/>
        <v>262.95929999999998</v>
      </c>
    </row>
    <row r="25" spans="1:20" x14ac:dyDescent="0.25">
      <c r="A25" t="s">
        <v>39</v>
      </c>
      <c r="B25" s="8" t="s">
        <v>132</v>
      </c>
      <c r="C25" s="3">
        <v>0</v>
      </c>
      <c r="D25" s="3">
        <v>0</v>
      </c>
      <c r="E25" s="3">
        <v>380700</v>
      </c>
      <c r="F25" s="3">
        <v>926100</v>
      </c>
      <c r="G25" s="3">
        <v>350100</v>
      </c>
      <c r="H25" s="3">
        <v>11700</v>
      </c>
      <c r="I25" s="3">
        <v>1800</v>
      </c>
      <c r="J25" s="3">
        <v>4500</v>
      </c>
      <c r="K25" s="3">
        <v>7200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>
        <f t="shared" si="0"/>
        <v>1682100</v>
      </c>
      <c r="T25">
        <f t="shared" si="1"/>
        <v>1.6820999999999999</v>
      </c>
    </row>
    <row r="26" spans="1:20" x14ac:dyDescent="0.25">
      <c r="A26" t="s">
        <v>40</v>
      </c>
      <c r="B26" s="8" t="s">
        <v>133</v>
      </c>
      <c r="C26" s="3">
        <v>179100</v>
      </c>
      <c r="D26" s="3">
        <v>0</v>
      </c>
      <c r="E26" s="3">
        <v>12522600</v>
      </c>
      <c r="F26" s="3">
        <v>11012400</v>
      </c>
      <c r="G26" s="3">
        <v>5164200</v>
      </c>
      <c r="H26" s="3">
        <v>2015100</v>
      </c>
      <c r="I26" s="3">
        <v>1368000</v>
      </c>
      <c r="J26" s="3">
        <v>9870300</v>
      </c>
      <c r="K26" s="3">
        <v>35579700</v>
      </c>
      <c r="L26" s="3">
        <v>56053800</v>
      </c>
      <c r="M26" s="3">
        <v>3386700</v>
      </c>
      <c r="N26" s="3">
        <v>1743300</v>
      </c>
      <c r="O26" s="3">
        <v>3935700</v>
      </c>
      <c r="P26" s="3">
        <v>0</v>
      </c>
      <c r="Q26" s="3">
        <v>1915200</v>
      </c>
      <c r="R26" s="3">
        <v>198000</v>
      </c>
      <c r="S26">
        <f t="shared" si="0"/>
        <v>144944100</v>
      </c>
      <c r="T26">
        <f t="shared" si="1"/>
        <v>144.94409999999999</v>
      </c>
    </row>
    <row r="27" spans="1:20" x14ac:dyDescent="0.25">
      <c r="A27" t="s">
        <v>41</v>
      </c>
      <c r="B27" s="8" t="s">
        <v>133</v>
      </c>
      <c r="C27" s="3">
        <v>1800</v>
      </c>
      <c r="D27" s="3">
        <v>0</v>
      </c>
      <c r="E27" s="3">
        <v>902700</v>
      </c>
      <c r="F27" s="3">
        <v>1315800</v>
      </c>
      <c r="G27" s="3">
        <v>1740600</v>
      </c>
      <c r="H27" s="3">
        <v>940500</v>
      </c>
      <c r="I27" s="3">
        <v>234900</v>
      </c>
      <c r="J27" s="3">
        <v>269100</v>
      </c>
      <c r="K27" s="3">
        <v>691200</v>
      </c>
      <c r="L27" s="3">
        <v>3570300</v>
      </c>
      <c r="M27" s="3">
        <v>148500</v>
      </c>
      <c r="N27" s="3">
        <v>108900</v>
      </c>
      <c r="O27" s="3">
        <v>27000</v>
      </c>
      <c r="P27" s="3">
        <v>0</v>
      </c>
      <c r="Q27" s="3">
        <v>481500</v>
      </c>
      <c r="R27" s="3">
        <v>28800</v>
      </c>
      <c r="S27">
        <f t="shared" si="0"/>
        <v>10461600</v>
      </c>
      <c r="T27">
        <f t="shared" si="1"/>
        <v>10.461600000000001</v>
      </c>
    </row>
    <row r="28" spans="1:20" x14ac:dyDescent="0.25">
      <c r="A28" t="s">
        <v>42</v>
      </c>
      <c r="B28" s="8" t="s">
        <v>115</v>
      </c>
      <c r="C28" s="3">
        <v>10141200</v>
      </c>
      <c r="D28" s="3">
        <v>0</v>
      </c>
      <c r="E28" s="3">
        <v>76933800</v>
      </c>
      <c r="F28" s="3">
        <v>85213800</v>
      </c>
      <c r="G28" s="3">
        <v>56106900</v>
      </c>
      <c r="H28" s="3">
        <v>21313800</v>
      </c>
      <c r="I28" s="3">
        <v>2590200</v>
      </c>
      <c r="J28" s="3">
        <v>21204900</v>
      </c>
      <c r="K28" s="3">
        <v>575546400</v>
      </c>
      <c r="L28" s="3">
        <v>118032300</v>
      </c>
      <c r="M28" s="3">
        <v>52500600</v>
      </c>
      <c r="N28" s="3">
        <v>14191200</v>
      </c>
      <c r="O28" s="3">
        <v>52744500</v>
      </c>
      <c r="P28" s="3">
        <v>904500</v>
      </c>
      <c r="Q28" s="3">
        <v>20146500</v>
      </c>
      <c r="R28" s="3">
        <v>5671800</v>
      </c>
      <c r="S28">
        <f t="shared" si="0"/>
        <v>1113242400</v>
      </c>
      <c r="T28">
        <f t="shared" si="1"/>
        <v>1113.2424000000001</v>
      </c>
    </row>
    <row r="29" spans="1:20" x14ac:dyDescent="0.25">
      <c r="A29" t="s">
        <v>43</v>
      </c>
      <c r="B29" s="8" t="s">
        <v>126</v>
      </c>
      <c r="C29" s="3">
        <v>21071700</v>
      </c>
      <c r="D29" s="3">
        <v>0</v>
      </c>
      <c r="E29" s="3">
        <v>60730200</v>
      </c>
      <c r="F29" s="3">
        <v>76381200</v>
      </c>
      <c r="G29" s="3">
        <v>42071400</v>
      </c>
      <c r="H29" s="3">
        <v>12222900</v>
      </c>
      <c r="I29" s="3">
        <v>2069100</v>
      </c>
      <c r="J29" s="3">
        <v>19917000</v>
      </c>
      <c r="K29" s="3">
        <v>60185700</v>
      </c>
      <c r="L29" s="3">
        <v>93776400</v>
      </c>
      <c r="M29" s="3">
        <v>5154300</v>
      </c>
      <c r="N29" s="3">
        <v>2631600</v>
      </c>
      <c r="O29" s="3">
        <v>9648900</v>
      </c>
      <c r="P29" s="3">
        <v>183600</v>
      </c>
      <c r="Q29" s="3">
        <v>9742500</v>
      </c>
      <c r="R29" s="3">
        <v>3758400</v>
      </c>
      <c r="S29">
        <f t="shared" si="0"/>
        <v>419544900</v>
      </c>
      <c r="T29">
        <f t="shared" si="1"/>
        <v>419.54489999999998</v>
      </c>
    </row>
    <row r="30" spans="1:20" x14ac:dyDescent="0.25">
      <c r="A30" t="s">
        <v>44</v>
      </c>
      <c r="B30" s="8" t="s">
        <v>127</v>
      </c>
      <c r="C30" s="3">
        <v>7200</v>
      </c>
      <c r="D30" s="3">
        <v>0</v>
      </c>
      <c r="E30" s="3">
        <v>844200</v>
      </c>
      <c r="F30" s="3">
        <v>3106800</v>
      </c>
      <c r="G30" s="3">
        <v>2172600</v>
      </c>
      <c r="H30" s="3">
        <v>792000</v>
      </c>
      <c r="I30" s="3">
        <v>5400</v>
      </c>
      <c r="J30" s="3">
        <v>304200</v>
      </c>
      <c r="K30" s="3">
        <v>79200</v>
      </c>
      <c r="L30" s="3">
        <v>133200</v>
      </c>
      <c r="M30" s="3">
        <v>17100</v>
      </c>
      <c r="N30" s="3">
        <v>900</v>
      </c>
      <c r="O30" s="3">
        <v>30600</v>
      </c>
      <c r="P30" s="3">
        <v>0</v>
      </c>
      <c r="Q30" s="3">
        <v>73800</v>
      </c>
      <c r="R30" s="3">
        <v>27000</v>
      </c>
      <c r="S30">
        <f t="shared" si="0"/>
        <v>7594200</v>
      </c>
      <c r="T30">
        <f t="shared" si="1"/>
        <v>7.5941999999999998</v>
      </c>
    </row>
    <row r="31" spans="1:20" x14ac:dyDescent="0.25">
      <c r="A31" t="s">
        <v>45</v>
      </c>
      <c r="B31" s="8" t="s">
        <v>131</v>
      </c>
      <c r="C31" s="3">
        <v>756900</v>
      </c>
      <c r="D31" s="3">
        <v>0</v>
      </c>
      <c r="E31" s="3">
        <v>28590300</v>
      </c>
      <c r="F31" s="3">
        <v>29641500</v>
      </c>
      <c r="G31" s="3">
        <v>8925300</v>
      </c>
      <c r="H31" s="3">
        <v>2911500</v>
      </c>
      <c r="I31" s="3">
        <v>467100</v>
      </c>
      <c r="J31" s="3">
        <v>4367700</v>
      </c>
      <c r="K31" s="3">
        <v>17669700</v>
      </c>
      <c r="L31" s="3">
        <v>20307600</v>
      </c>
      <c r="M31" s="3">
        <v>1035900</v>
      </c>
      <c r="N31" s="3">
        <v>538200</v>
      </c>
      <c r="O31" s="3">
        <v>2024100</v>
      </c>
      <c r="P31" s="3">
        <v>0</v>
      </c>
      <c r="Q31" s="3">
        <v>5452200</v>
      </c>
      <c r="R31" s="3">
        <v>1733400</v>
      </c>
      <c r="S31">
        <f t="shared" si="0"/>
        <v>124421400</v>
      </c>
      <c r="T31">
        <f t="shared" si="1"/>
        <v>124.42140000000001</v>
      </c>
    </row>
    <row r="32" spans="1:20" x14ac:dyDescent="0.25">
      <c r="A32" t="s">
        <v>46</v>
      </c>
      <c r="B32" s="8" t="s">
        <v>134</v>
      </c>
      <c r="C32" s="3">
        <v>202500</v>
      </c>
      <c r="D32" s="3">
        <v>0</v>
      </c>
      <c r="E32" s="3">
        <v>3936600</v>
      </c>
      <c r="F32" s="3">
        <v>7524900</v>
      </c>
      <c r="G32" s="3">
        <v>7884900</v>
      </c>
      <c r="H32" s="3">
        <v>8127000</v>
      </c>
      <c r="I32" s="3">
        <v>35100</v>
      </c>
      <c r="J32" s="3">
        <v>932400</v>
      </c>
      <c r="K32" s="3">
        <v>734400</v>
      </c>
      <c r="L32" s="3">
        <v>1085400</v>
      </c>
      <c r="M32" s="3">
        <v>81900</v>
      </c>
      <c r="N32" s="3">
        <v>92700</v>
      </c>
      <c r="O32" s="3">
        <v>1240200</v>
      </c>
      <c r="P32" s="3">
        <v>106200</v>
      </c>
      <c r="Q32" s="3">
        <v>371700</v>
      </c>
      <c r="R32" s="3">
        <v>1439100</v>
      </c>
      <c r="S32">
        <f t="shared" si="0"/>
        <v>33795000</v>
      </c>
      <c r="T32">
        <f t="shared" si="1"/>
        <v>33.795000000000002</v>
      </c>
    </row>
    <row r="33" spans="1:20" x14ac:dyDescent="0.25">
      <c r="A33" t="s">
        <v>47</v>
      </c>
      <c r="B33" s="8" t="s">
        <v>115</v>
      </c>
      <c r="C33" s="3">
        <v>5943600</v>
      </c>
      <c r="D33" s="3">
        <v>0</v>
      </c>
      <c r="E33" s="3">
        <v>29708100</v>
      </c>
      <c r="F33" s="3">
        <v>19482300</v>
      </c>
      <c r="G33" s="3">
        <v>4167900</v>
      </c>
      <c r="H33" s="3">
        <v>946800</v>
      </c>
      <c r="I33" s="3">
        <v>968400</v>
      </c>
      <c r="J33" s="3">
        <v>13063500</v>
      </c>
      <c r="K33" s="3">
        <v>558155700</v>
      </c>
      <c r="L33" s="3">
        <v>85406400</v>
      </c>
      <c r="M33" s="3">
        <v>46827900</v>
      </c>
      <c r="N33" s="3">
        <v>11919600</v>
      </c>
      <c r="O33" s="3">
        <v>41553900</v>
      </c>
      <c r="P33" s="3">
        <v>573300</v>
      </c>
      <c r="Q33" s="3">
        <v>11071800</v>
      </c>
      <c r="R33" s="3">
        <v>2070000</v>
      </c>
      <c r="S33">
        <f t="shared" si="0"/>
        <v>831859200</v>
      </c>
      <c r="T33">
        <f t="shared" si="1"/>
        <v>831.85919999999999</v>
      </c>
    </row>
    <row r="34" spans="1:20" x14ac:dyDescent="0.25">
      <c r="A34" t="s">
        <v>48</v>
      </c>
      <c r="B34" s="8" t="s">
        <v>135</v>
      </c>
      <c r="C34" s="3">
        <v>3230100</v>
      </c>
      <c r="D34" s="3">
        <v>0</v>
      </c>
      <c r="E34" s="3">
        <v>35287200</v>
      </c>
      <c r="F34" s="3">
        <v>41430600</v>
      </c>
      <c r="G34" s="3">
        <v>22964400</v>
      </c>
      <c r="H34" s="3">
        <v>3390300</v>
      </c>
      <c r="I34" s="3">
        <v>1151100</v>
      </c>
      <c r="J34" s="3">
        <v>4481100</v>
      </c>
      <c r="K34" s="3">
        <v>15320700</v>
      </c>
      <c r="L34" s="3">
        <v>27242100</v>
      </c>
      <c r="M34" s="3">
        <v>5067000</v>
      </c>
      <c r="N34" s="3">
        <v>1814400</v>
      </c>
      <c r="O34" s="3">
        <v>4643100</v>
      </c>
      <c r="P34" s="3">
        <v>0</v>
      </c>
      <c r="Q34" s="3">
        <v>7153200</v>
      </c>
      <c r="R34" s="3">
        <v>715500</v>
      </c>
      <c r="S34">
        <f t="shared" si="0"/>
        <v>173890800</v>
      </c>
      <c r="T34">
        <f t="shared" si="1"/>
        <v>173.89080000000001</v>
      </c>
    </row>
    <row r="35" spans="1:20" x14ac:dyDescent="0.25">
      <c r="A35" t="s">
        <v>49</v>
      </c>
      <c r="B35" s="8" t="s">
        <v>136</v>
      </c>
      <c r="C35" s="3">
        <v>376200</v>
      </c>
      <c r="D35" s="3">
        <v>0</v>
      </c>
      <c r="E35" s="3">
        <v>1845900</v>
      </c>
      <c r="F35" s="3">
        <v>6315300</v>
      </c>
      <c r="G35" s="3">
        <v>7385400</v>
      </c>
      <c r="H35" s="3">
        <v>3462300</v>
      </c>
      <c r="I35" s="3">
        <v>12600</v>
      </c>
      <c r="J35" s="3">
        <v>148500</v>
      </c>
      <c r="K35" s="3">
        <v>369000</v>
      </c>
      <c r="L35" s="3">
        <v>424800</v>
      </c>
      <c r="M35" s="3">
        <v>13500</v>
      </c>
      <c r="N35" s="3">
        <v>4500</v>
      </c>
      <c r="O35" s="3">
        <v>6300</v>
      </c>
      <c r="P35" s="3">
        <v>0</v>
      </c>
      <c r="Q35" s="3">
        <v>34200</v>
      </c>
      <c r="R35" s="3">
        <v>0</v>
      </c>
      <c r="S35">
        <f t="shared" si="0"/>
        <v>20398500</v>
      </c>
      <c r="T35">
        <f t="shared" si="1"/>
        <v>20.398499999999999</v>
      </c>
    </row>
    <row r="36" spans="1:20" x14ac:dyDescent="0.25">
      <c r="A36" t="s">
        <v>50</v>
      </c>
      <c r="B36" s="8" t="s">
        <v>121</v>
      </c>
      <c r="C36" s="3">
        <v>9060300</v>
      </c>
      <c r="D36" s="3">
        <v>0</v>
      </c>
      <c r="E36" s="3">
        <v>21893400</v>
      </c>
      <c r="F36" s="3">
        <v>14298300</v>
      </c>
      <c r="G36" s="3">
        <v>3200400</v>
      </c>
      <c r="H36" s="3">
        <v>715500</v>
      </c>
      <c r="I36" s="3">
        <v>975600</v>
      </c>
      <c r="J36" s="3">
        <v>4887000</v>
      </c>
      <c r="K36" s="3">
        <v>305919000</v>
      </c>
      <c r="L36" s="3">
        <v>56770200</v>
      </c>
      <c r="M36" s="3">
        <v>17154000</v>
      </c>
      <c r="N36" s="3">
        <v>2695500</v>
      </c>
      <c r="O36" s="3">
        <v>2223900</v>
      </c>
      <c r="P36" s="3">
        <v>0</v>
      </c>
      <c r="Q36" s="3">
        <v>6330600</v>
      </c>
      <c r="R36" s="3">
        <v>651600</v>
      </c>
      <c r="S36">
        <f t="shared" si="0"/>
        <v>446775300</v>
      </c>
      <c r="T36">
        <f t="shared" si="1"/>
        <v>446.77530000000002</v>
      </c>
    </row>
    <row r="37" spans="1:20" x14ac:dyDescent="0.25">
      <c r="A37" t="s">
        <v>51</v>
      </c>
      <c r="B37" s="8" t="s">
        <v>127</v>
      </c>
      <c r="C37" s="3">
        <v>7200</v>
      </c>
      <c r="D37" s="3">
        <v>0</v>
      </c>
      <c r="E37" s="3">
        <v>718200</v>
      </c>
      <c r="F37" s="3">
        <v>2741400</v>
      </c>
      <c r="G37" s="3">
        <v>1982700</v>
      </c>
      <c r="H37" s="3">
        <v>781200</v>
      </c>
      <c r="I37" s="3">
        <v>5400</v>
      </c>
      <c r="J37" s="3">
        <v>196200</v>
      </c>
      <c r="K37" s="3">
        <v>71100</v>
      </c>
      <c r="L37" s="3">
        <v>111600</v>
      </c>
      <c r="M37" s="3">
        <v>17100</v>
      </c>
      <c r="N37" s="3">
        <v>900</v>
      </c>
      <c r="O37" s="3">
        <v>28800</v>
      </c>
      <c r="P37" s="3">
        <v>0</v>
      </c>
      <c r="Q37" s="3">
        <v>29700</v>
      </c>
      <c r="R37" s="3">
        <v>0</v>
      </c>
      <c r="S37">
        <f t="shared" si="0"/>
        <v>6691500</v>
      </c>
      <c r="T37">
        <f t="shared" si="1"/>
        <v>6.6914999999999996</v>
      </c>
    </row>
    <row r="38" spans="1:20" x14ac:dyDescent="0.25">
      <c r="A38" t="s">
        <v>52</v>
      </c>
      <c r="B38" s="8" t="s">
        <v>137</v>
      </c>
      <c r="C38" s="3">
        <v>0</v>
      </c>
      <c r="D38" s="3">
        <v>0</v>
      </c>
      <c r="E38" s="3">
        <v>53100</v>
      </c>
      <c r="F38" s="3">
        <v>198000</v>
      </c>
      <c r="G38" s="3">
        <v>128700</v>
      </c>
      <c r="H38" s="3">
        <v>35100</v>
      </c>
      <c r="I38" s="3">
        <v>4500</v>
      </c>
      <c r="J38" s="3">
        <v>56700</v>
      </c>
      <c r="K38" s="3">
        <v>55800</v>
      </c>
      <c r="L38" s="3">
        <v>95400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>
        <f t="shared" si="0"/>
        <v>627300</v>
      </c>
      <c r="T38">
        <f t="shared" si="1"/>
        <v>0.62729999999999997</v>
      </c>
    </row>
    <row r="39" spans="1:20" x14ac:dyDescent="0.25">
      <c r="A39" t="s">
        <v>53</v>
      </c>
      <c r="B39" s="8" t="s">
        <v>138</v>
      </c>
      <c r="C39" s="3">
        <v>0</v>
      </c>
      <c r="D39" s="3">
        <v>0</v>
      </c>
      <c r="E39" s="3">
        <v>680400</v>
      </c>
      <c r="F39" s="3">
        <v>1578600</v>
      </c>
      <c r="G39" s="3">
        <v>1091700</v>
      </c>
      <c r="H39" s="3">
        <v>61200</v>
      </c>
      <c r="I39" s="3">
        <v>10800</v>
      </c>
      <c r="J39" s="3">
        <v>82800</v>
      </c>
      <c r="K39" s="3">
        <v>172800</v>
      </c>
      <c r="L39" s="3">
        <v>914400</v>
      </c>
      <c r="M39" s="3">
        <v>49500</v>
      </c>
      <c r="N39" s="3">
        <v>5400</v>
      </c>
      <c r="O39" s="3">
        <v>9000</v>
      </c>
      <c r="P39" s="3">
        <v>0</v>
      </c>
      <c r="Q39" s="3">
        <v>9000</v>
      </c>
      <c r="R39" s="3">
        <v>0</v>
      </c>
      <c r="S39">
        <f t="shared" si="0"/>
        <v>4665600</v>
      </c>
      <c r="T39">
        <f t="shared" si="1"/>
        <v>4.6656000000000004</v>
      </c>
    </row>
    <row r="40" spans="1:20" x14ac:dyDescent="0.25">
      <c r="A40" t="s">
        <v>54</v>
      </c>
      <c r="B40" s="8" t="s">
        <v>139</v>
      </c>
      <c r="C40" s="3">
        <v>0</v>
      </c>
      <c r="D40" s="3">
        <v>0</v>
      </c>
      <c r="E40" s="3">
        <v>50400</v>
      </c>
      <c r="F40" s="3">
        <v>451800</v>
      </c>
      <c r="G40" s="3">
        <v>648000</v>
      </c>
      <c r="H40" s="3">
        <v>38700</v>
      </c>
      <c r="I40" s="3">
        <v>0</v>
      </c>
      <c r="J40" s="3">
        <v>8100</v>
      </c>
      <c r="K40" s="3">
        <v>73800</v>
      </c>
      <c r="L40" s="3">
        <v>32400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>
        <f t="shared" si="0"/>
        <v>1303200</v>
      </c>
      <c r="T40">
        <f t="shared" si="1"/>
        <v>1.3031999999999999</v>
      </c>
    </row>
    <row r="41" spans="1:20" x14ac:dyDescent="0.25">
      <c r="A41" t="s">
        <v>55</v>
      </c>
      <c r="B41" s="8" t="s">
        <v>133</v>
      </c>
      <c r="C41" s="3">
        <v>129600</v>
      </c>
      <c r="D41" s="3">
        <v>0</v>
      </c>
      <c r="E41" s="3">
        <v>10079100</v>
      </c>
      <c r="F41" s="3">
        <v>7885800</v>
      </c>
      <c r="G41" s="3">
        <v>890100</v>
      </c>
      <c r="H41" s="3">
        <v>139500</v>
      </c>
      <c r="I41" s="3">
        <v>1117800</v>
      </c>
      <c r="J41" s="3">
        <v>8195400</v>
      </c>
      <c r="K41" s="3">
        <v>25525800</v>
      </c>
      <c r="L41" s="3">
        <v>42159600</v>
      </c>
      <c r="M41" s="3">
        <v>2912400</v>
      </c>
      <c r="N41" s="3">
        <v>1476900</v>
      </c>
      <c r="O41" s="3">
        <v>3870000</v>
      </c>
      <c r="P41" s="3">
        <v>0</v>
      </c>
      <c r="Q41" s="3">
        <v>1309500</v>
      </c>
      <c r="R41" s="3">
        <v>144000</v>
      </c>
      <c r="S41">
        <f t="shared" si="0"/>
        <v>105835500</v>
      </c>
      <c r="T41">
        <f t="shared" si="1"/>
        <v>105.8355</v>
      </c>
    </row>
    <row r="42" spans="1:20" x14ac:dyDescent="0.25">
      <c r="A42" t="s">
        <v>56</v>
      </c>
      <c r="B42" s="8" t="s">
        <v>133</v>
      </c>
      <c r="C42" s="3">
        <v>1800</v>
      </c>
      <c r="D42" s="3">
        <v>0</v>
      </c>
      <c r="E42" s="3">
        <v>855900</v>
      </c>
      <c r="F42" s="3">
        <v>1260900</v>
      </c>
      <c r="G42" s="3">
        <v>1664100</v>
      </c>
      <c r="H42" s="3">
        <v>876600</v>
      </c>
      <c r="I42" s="3">
        <v>234900</v>
      </c>
      <c r="J42" s="3">
        <v>269100</v>
      </c>
      <c r="K42" s="3">
        <v>691200</v>
      </c>
      <c r="L42" s="3">
        <v>3570300</v>
      </c>
      <c r="M42" s="3">
        <v>148500</v>
      </c>
      <c r="N42" s="3">
        <v>108900</v>
      </c>
      <c r="O42" s="3">
        <v>26100</v>
      </c>
      <c r="P42" s="3">
        <v>0</v>
      </c>
      <c r="Q42" s="3">
        <v>475200</v>
      </c>
      <c r="R42" s="3">
        <v>28800</v>
      </c>
      <c r="S42">
        <f t="shared" si="0"/>
        <v>10212300</v>
      </c>
      <c r="T42">
        <f t="shared" si="1"/>
        <v>10.212300000000001</v>
      </c>
    </row>
    <row r="43" spans="1:20" x14ac:dyDescent="0.25">
      <c r="A43" t="s">
        <v>57</v>
      </c>
      <c r="B43" s="8" t="s">
        <v>140</v>
      </c>
      <c r="C43" s="3">
        <v>296100</v>
      </c>
      <c r="D43" s="3">
        <v>0</v>
      </c>
      <c r="E43" s="3">
        <v>3051900</v>
      </c>
      <c r="F43" s="3">
        <v>4609800</v>
      </c>
      <c r="G43" s="3">
        <v>3199500</v>
      </c>
      <c r="H43" s="3">
        <v>405000</v>
      </c>
      <c r="I43" s="3">
        <v>10800</v>
      </c>
      <c r="J43" s="3">
        <v>333900</v>
      </c>
      <c r="K43" s="3">
        <v>1089900</v>
      </c>
      <c r="L43" s="3">
        <v>1555200</v>
      </c>
      <c r="M43" s="3">
        <v>41400</v>
      </c>
      <c r="N43" s="3">
        <v>22500</v>
      </c>
      <c r="O43" s="3">
        <v>36900</v>
      </c>
      <c r="P43" s="3">
        <v>0</v>
      </c>
      <c r="Q43" s="3">
        <v>387000</v>
      </c>
      <c r="R43" s="3">
        <v>71100</v>
      </c>
      <c r="S43">
        <f t="shared" si="0"/>
        <v>15111000</v>
      </c>
      <c r="T43">
        <f t="shared" si="1"/>
        <v>15.111000000000001</v>
      </c>
    </row>
    <row r="44" spans="1:20" x14ac:dyDescent="0.25">
      <c r="A44" t="s">
        <v>58</v>
      </c>
      <c r="B44" s="8" t="s">
        <v>141</v>
      </c>
      <c r="C44" s="3">
        <v>346500</v>
      </c>
      <c r="D44" s="3">
        <v>0</v>
      </c>
      <c r="E44" s="3">
        <v>1224900</v>
      </c>
      <c r="F44" s="3">
        <v>1314000</v>
      </c>
      <c r="G44" s="3">
        <v>448200</v>
      </c>
      <c r="H44" s="3">
        <v>78300</v>
      </c>
      <c r="I44" s="3">
        <v>0</v>
      </c>
      <c r="J44" s="3">
        <v>201600</v>
      </c>
      <c r="K44" s="3">
        <v>270000</v>
      </c>
      <c r="L44" s="3">
        <v>748800</v>
      </c>
      <c r="M44" s="3">
        <v>0</v>
      </c>
      <c r="N44" s="3">
        <v>4500</v>
      </c>
      <c r="O44" s="3">
        <v>8100</v>
      </c>
      <c r="P44" s="3">
        <v>0</v>
      </c>
      <c r="Q44" s="3">
        <v>114300</v>
      </c>
      <c r="R44" s="3">
        <v>7200</v>
      </c>
      <c r="S44">
        <f t="shared" si="0"/>
        <v>4766400</v>
      </c>
      <c r="T44">
        <f t="shared" si="1"/>
        <v>4.7664</v>
      </c>
    </row>
    <row r="45" spans="1:20" x14ac:dyDescent="0.25">
      <c r="A45" t="s">
        <v>59</v>
      </c>
      <c r="B45" s="8" t="s">
        <v>142</v>
      </c>
      <c r="C45" s="3">
        <v>0</v>
      </c>
      <c r="D45" s="3">
        <v>0</v>
      </c>
      <c r="E45" s="3">
        <v>923400</v>
      </c>
      <c r="F45" s="3">
        <v>743400</v>
      </c>
      <c r="G45" s="3">
        <v>516600</v>
      </c>
      <c r="H45" s="3">
        <v>103500</v>
      </c>
      <c r="I45" s="3">
        <v>0</v>
      </c>
      <c r="J45" s="3">
        <v>171000</v>
      </c>
      <c r="K45" s="3">
        <v>207900</v>
      </c>
      <c r="L45" s="3">
        <v>471600</v>
      </c>
      <c r="M45" s="3">
        <v>1800</v>
      </c>
      <c r="N45" s="3">
        <v>4500</v>
      </c>
      <c r="O45" s="3">
        <v>0</v>
      </c>
      <c r="P45" s="3">
        <v>0</v>
      </c>
      <c r="Q45" s="3">
        <v>111600</v>
      </c>
      <c r="R45" s="3">
        <v>1800</v>
      </c>
      <c r="S45">
        <f t="shared" si="0"/>
        <v>3257100</v>
      </c>
      <c r="T45">
        <f t="shared" si="1"/>
        <v>3.2570999999999999</v>
      </c>
    </row>
    <row r="46" spans="1:20" x14ac:dyDescent="0.25">
      <c r="A46" t="s">
        <v>60</v>
      </c>
      <c r="B46" s="8" t="s">
        <v>143</v>
      </c>
      <c r="C46" s="3">
        <v>0</v>
      </c>
      <c r="D46" s="3">
        <v>0</v>
      </c>
      <c r="E46" s="3">
        <v>117000</v>
      </c>
      <c r="F46" s="3">
        <v>205200</v>
      </c>
      <c r="G46" s="3">
        <v>43200</v>
      </c>
      <c r="H46" s="3">
        <v>900</v>
      </c>
      <c r="I46" s="3">
        <v>0</v>
      </c>
      <c r="J46" s="3">
        <v>39600</v>
      </c>
      <c r="K46" s="3">
        <v>55800</v>
      </c>
      <c r="L46" s="3">
        <v>90900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>
        <f t="shared" si="0"/>
        <v>552600</v>
      </c>
      <c r="T46">
        <f t="shared" si="1"/>
        <v>0.55259999999999998</v>
      </c>
    </row>
    <row r="47" spans="1:20" x14ac:dyDescent="0.25">
      <c r="A47" t="s">
        <v>61</v>
      </c>
      <c r="B47" s="8" t="s">
        <v>144</v>
      </c>
      <c r="C47" s="3">
        <v>34200</v>
      </c>
      <c r="D47" s="3">
        <v>0</v>
      </c>
      <c r="E47" s="3">
        <v>2649600</v>
      </c>
      <c r="F47" s="3">
        <v>2908800</v>
      </c>
      <c r="G47" s="3">
        <v>1760400</v>
      </c>
      <c r="H47" s="3">
        <v>423000</v>
      </c>
      <c r="I47" s="3">
        <v>15300</v>
      </c>
      <c r="J47" s="3">
        <v>162900</v>
      </c>
      <c r="K47" s="3">
        <v>500400</v>
      </c>
      <c r="L47" s="3">
        <v>1422000</v>
      </c>
      <c r="M47" s="3">
        <v>148500</v>
      </c>
      <c r="N47" s="3">
        <v>43200</v>
      </c>
      <c r="O47" s="3">
        <v>81000</v>
      </c>
      <c r="P47" s="3">
        <v>0</v>
      </c>
      <c r="Q47" s="3">
        <v>512100</v>
      </c>
      <c r="R47" s="3">
        <v>61200</v>
      </c>
      <c r="S47">
        <f t="shared" si="0"/>
        <v>10722600</v>
      </c>
      <c r="T47">
        <f t="shared" si="1"/>
        <v>10.7226</v>
      </c>
    </row>
    <row r="48" spans="1:20" x14ac:dyDescent="0.25">
      <c r="A48" t="s">
        <v>62</v>
      </c>
      <c r="B48" s="8" t="s">
        <v>145</v>
      </c>
      <c r="C48" s="3">
        <v>377100</v>
      </c>
      <c r="D48" s="3">
        <v>0</v>
      </c>
      <c r="E48" s="3">
        <v>1998000</v>
      </c>
      <c r="F48" s="3">
        <v>1447200</v>
      </c>
      <c r="G48" s="3">
        <v>135900</v>
      </c>
      <c r="H48" s="3">
        <v>27000</v>
      </c>
      <c r="I48" s="3">
        <v>11700</v>
      </c>
      <c r="J48" s="3">
        <v>1084500</v>
      </c>
      <c r="K48" s="3">
        <v>2500200</v>
      </c>
      <c r="L48" s="3">
        <v>6198300</v>
      </c>
      <c r="M48" s="3">
        <v>797400</v>
      </c>
      <c r="N48" s="3">
        <v>450900</v>
      </c>
      <c r="O48" s="3">
        <v>3262500</v>
      </c>
      <c r="P48" s="3">
        <v>186300</v>
      </c>
      <c r="Q48" s="3">
        <v>225000</v>
      </c>
      <c r="R48" s="3">
        <v>143100</v>
      </c>
      <c r="S48">
        <f t="shared" si="0"/>
        <v>18845100</v>
      </c>
      <c r="T48">
        <f t="shared" si="1"/>
        <v>18.845099999999999</v>
      </c>
    </row>
    <row r="49" spans="1:20" x14ac:dyDescent="0.25">
      <c r="A49" t="s">
        <v>63</v>
      </c>
      <c r="B49" s="8" t="s">
        <v>115</v>
      </c>
      <c r="C49" s="3">
        <v>5375700</v>
      </c>
      <c r="D49" s="3">
        <v>0</v>
      </c>
      <c r="E49" s="3">
        <v>16827300</v>
      </c>
      <c r="F49" s="3">
        <v>6027300</v>
      </c>
      <c r="G49" s="3">
        <v>531900</v>
      </c>
      <c r="H49" s="3">
        <v>126900</v>
      </c>
      <c r="I49" s="3">
        <v>750600</v>
      </c>
      <c r="J49" s="3">
        <v>9090000</v>
      </c>
      <c r="K49" s="3">
        <v>545220000</v>
      </c>
      <c r="L49" s="3">
        <v>61291800</v>
      </c>
      <c r="M49" s="3">
        <v>44118000</v>
      </c>
      <c r="N49" s="3">
        <v>10454400</v>
      </c>
      <c r="O49" s="3">
        <v>4365000</v>
      </c>
      <c r="P49" s="3">
        <v>509400</v>
      </c>
      <c r="Q49" s="3">
        <v>4910400</v>
      </c>
      <c r="R49" s="3">
        <v>469800</v>
      </c>
      <c r="S49">
        <f t="shared" si="0"/>
        <v>710068500</v>
      </c>
      <c r="T49">
        <f t="shared" si="1"/>
        <v>710.06849999999997</v>
      </c>
    </row>
    <row r="50" spans="1:20" x14ac:dyDescent="0.25">
      <c r="A50" t="s">
        <v>64</v>
      </c>
      <c r="B50" s="8" t="s">
        <v>146</v>
      </c>
      <c r="C50" s="3">
        <v>39600</v>
      </c>
      <c r="D50" s="3">
        <v>0</v>
      </c>
      <c r="E50" s="3">
        <v>7677000</v>
      </c>
      <c r="F50" s="3">
        <v>8041500</v>
      </c>
      <c r="G50" s="3">
        <v>2573100</v>
      </c>
      <c r="H50" s="3">
        <v>385200</v>
      </c>
      <c r="I50" s="3">
        <v>146700</v>
      </c>
      <c r="J50" s="3">
        <v>1375200</v>
      </c>
      <c r="K50" s="3">
        <v>2692800</v>
      </c>
      <c r="L50" s="3">
        <v>6939000</v>
      </c>
      <c r="M50" s="3">
        <v>287100</v>
      </c>
      <c r="N50" s="3">
        <v>178200</v>
      </c>
      <c r="O50" s="3">
        <v>414900</v>
      </c>
      <c r="P50" s="3">
        <v>0</v>
      </c>
      <c r="Q50" s="3">
        <v>1331100</v>
      </c>
      <c r="R50" s="3">
        <v>965700</v>
      </c>
      <c r="S50">
        <f t="shared" si="0"/>
        <v>33047100</v>
      </c>
      <c r="T50">
        <f t="shared" si="1"/>
        <v>33.0471</v>
      </c>
    </row>
    <row r="51" spans="1:20" x14ac:dyDescent="0.25">
      <c r="A51" t="s">
        <v>65</v>
      </c>
      <c r="B51" s="8" t="s">
        <v>147</v>
      </c>
      <c r="C51" s="3">
        <v>0</v>
      </c>
      <c r="D51" s="3">
        <v>0</v>
      </c>
      <c r="E51" s="3">
        <v>686700</v>
      </c>
      <c r="F51" s="3">
        <v>2382300</v>
      </c>
      <c r="G51" s="3">
        <v>1585800</v>
      </c>
      <c r="H51" s="3">
        <v>728100</v>
      </c>
      <c r="I51" s="3">
        <v>26100</v>
      </c>
      <c r="J51" s="3">
        <v>114300</v>
      </c>
      <c r="K51" s="3">
        <v>1355400</v>
      </c>
      <c r="L51" s="3">
        <v>299700</v>
      </c>
      <c r="M51" s="3">
        <v>0</v>
      </c>
      <c r="N51" s="3">
        <v>900</v>
      </c>
      <c r="O51" s="3">
        <v>13500</v>
      </c>
      <c r="P51" s="3">
        <v>0</v>
      </c>
      <c r="Q51" s="3">
        <v>65700</v>
      </c>
      <c r="R51" s="3">
        <v>67500</v>
      </c>
      <c r="S51">
        <f t="shared" si="0"/>
        <v>7326000</v>
      </c>
      <c r="T51">
        <f t="shared" si="1"/>
        <v>7.3259999999999996</v>
      </c>
    </row>
    <row r="52" spans="1:20" x14ac:dyDescent="0.25">
      <c r="A52" t="s">
        <v>66</v>
      </c>
      <c r="B52" s="8" t="s">
        <v>128</v>
      </c>
      <c r="C52" s="3">
        <v>285300</v>
      </c>
      <c r="D52" s="3">
        <v>0</v>
      </c>
      <c r="E52" s="3">
        <v>6423300</v>
      </c>
      <c r="F52" s="3">
        <v>14915700</v>
      </c>
      <c r="G52" s="3">
        <v>19503900</v>
      </c>
      <c r="H52" s="3">
        <v>9671400</v>
      </c>
      <c r="I52" s="3">
        <v>76500</v>
      </c>
      <c r="J52" s="3">
        <v>812700</v>
      </c>
      <c r="K52" s="3">
        <v>927000</v>
      </c>
      <c r="L52" s="3">
        <v>1087200</v>
      </c>
      <c r="M52" s="3">
        <v>68400</v>
      </c>
      <c r="N52" s="3">
        <v>81000</v>
      </c>
      <c r="O52" s="3">
        <v>33300</v>
      </c>
      <c r="P52" s="3">
        <v>0</v>
      </c>
      <c r="Q52" s="3">
        <v>1667700</v>
      </c>
      <c r="R52" s="3">
        <v>31500</v>
      </c>
      <c r="S52">
        <f t="shared" si="0"/>
        <v>55584900</v>
      </c>
      <c r="T52">
        <f t="shared" si="1"/>
        <v>55.584899999999998</v>
      </c>
    </row>
    <row r="53" spans="1:20" x14ac:dyDescent="0.25">
      <c r="A53" t="s">
        <v>67</v>
      </c>
      <c r="B53" s="8" t="s">
        <v>148</v>
      </c>
      <c r="C53" s="3">
        <v>50400</v>
      </c>
      <c r="D53" s="3">
        <v>0</v>
      </c>
      <c r="E53" s="3">
        <v>1985400</v>
      </c>
      <c r="F53" s="3">
        <v>2261700</v>
      </c>
      <c r="G53" s="3">
        <v>1566000</v>
      </c>
      <c r="H53" s="3">
        <v>594000</v>
      </c>
      <c r="I53" s="3">
        <v>717300</v>
      </c>
      <c r="J53" s="3">
        <v>873000</v>
      </c>
      <c r="K53" s="3">
        <v>17546400</v>
      </c>
      <c r="L53" s="3">
        <v>6406200</v>
      </c>
      <c r="M53" s="3">
        <v>2473200</v>
      </c>
      <c r="N53" s="3">
        <v>974700</v>
      </c>
      <c r="O53" s="3">
        <v>4735800</v>
      </c>
      <c r="P53" s="3">
        <v>0</v>
      </c>
      <c r="Q53" s="3">
        <v>1233000</v>
      </c>
      <c r="R53" s="3">
        <v>276300</v>
      </c>
      <c r="S53">
        <f t="shared" si="0"/>
        <v>41693400</v>
      </c>
      <c r="T53">
        <f t="shared" si="1"/>
        <v>41.693399999999997</v>
      </c>
    </row>
    <row r="54" spans="1:20" x14ac:dyDescent="0.25">
      <c r="A54" t="s">
        <v>68</v>
      </c>
      <c r="B54" s="8" t="s">
        <v>149</v>
      </c>
      <c r="C54" s="3">
        <v>1304100</v>
      </c>
      <c r="D54" s="3">
        <v>0</v>
      </c>
      <c r="E54" s="3">
        <v>4216500</v>
      </c>
      <c r="F54" s="3">
        <v>4513500</v>
      </c>
      <c r="G54" s="3">
        <v>1413000</v>
      </c>
      <c r="H54" s="3">
        <v>193500</v>
      </c>
      <c r="I54" s="3">
        <v>20700</v>
      </c>
      <c r="J54" s="3">
        <v>679500</v>
      </c>
      <c r="K54" s="3">
        <v>1852200</v>
      </c>
      <c r="L54" s="3">
        <v>2798100</v>
      </c>
      <c r="M54" s="3">
        <v>378900</v>
      </c>
      <c r="N54" s="3">
        <v>65700</v>
      </c>
      <c r="O54" s="3">
        <v>316800</v>
      </c>
      <c r="P54" s="3">
        <v>0</v>
      </c>
      <c r="Q54" s="3">
        <v>212400</v>
      </c>
      <c r="R54" s="3">
        <v>14400</v>
      </c>
      <c r="S54">
        <f t="shared" si="0"/>
        <v>17979300</v>
      </c>
      <c r="T54">
        <f t="shared" si="1"/>
        <v>17.979299999999999</v>
      </c>
    </row>
    <row r="55" spans="1:20" x14ac:dyDescent="0.25">
      <c r="A55" t="s">
        <v>69</v>
      </c>
      <c r="B55" s="8" t="s">
        <v>150</v>
      </c>
      <c r="C55" s="3">
        <v>900</v>
      </c>
      <c r="D55" s="3">
        <v>0</v>
      </c>
      <c r="E55" s="3">
        <v>858600</v>
      </c>
      <c r="F55" s="3">
        <v>2069100</v>
      </c>
      <c r="G55" s="3">
        <v>5218200</v>
      </c>
      <c r="H55" s="3">
        <v>1058400</v>
      </c>
      <c r="I55" s="3">
        <v>1800</v>
      </c>
      <c r="J55" s="3">
        <v>387900</v>
      </c>
      <c r="K55" s="3">
        <v>31500</v>
      </c>
      <c r="L55" s="3">
        <v>47700</v>
      </c>
      <c r="M55" s="3">
        <v>17100</v>
      </c>
      <c r="N55" s="3">
        <v>0</v>
      </c>
      <c r="O55" s="3">
        <v>24300</v>
      </c>
      <c r="P55" s="3">
        <v>0</v>
      </c>
      <c r="Q55" s="3">
        <v>81900</v>
      </c>
      <c r="R55" s="3">
        <v>6300</v>
      </c>
      <c r="S55">
        <f t="shared" si="0"/>
        <v>9803700</v>
      </c>
      <c r="T55">
        <f t="shared" si="1"/>
        <v>9.8036999999999992</v>
      </c>
    </row>
    <row r="56" spans="1:20" x14ac:dyDescent="0.25">
      <c r="A56" t="s">
        <v>70</v>
      </c>
      <c r="B56" s="8" t="s">
        <v>125</v>
      </c>
      <c r="C56" s="3">
        <v>900</v>
      </c>
      <c r="D56" s="3">
        <v>0</v>
      </c>
      <c r="E56" s="3">
        <v>605700</v>
      </c>
      <c r="F56" s="3">
        <v>2652300</v>
      </c>
      <c r="G56" s="3">
        <v>2838600</v>
      </c>
      <c r="H56" s="3">
        <v>352800</v>
      </c>
      <c r="I56" s="3">
        <v>13500</v>
      </c>
      <c r="J56" s="3">
        <v>165600</v>
      </c>
      <c r="K56" s="3">
        <v>248400</v>
      </c>
      <c r="L56" s="3">
        <v>216900</v>
      </c>
      <c r="M56" s="3">
        <v>8100</v>
      </c>
      <c r="N56" s="3">
        <v>0</v>
      </c>
      <c r="O56" s="3">
        <v>0</v>
      </c>
      <c r="P56" s="3">
        <v>0</v>
      </c>
      <c r="Q56" s="3">
        <v>26100</v>
      </c>
      <c r="R56" s="3">
        <v>0</v>
      </c>
      <c r="S56">
        <f t="shared" si="0"/>
        <v>7128900</v>
      </c>
      <c r="T56">
        <f t="shared" si="1"/>
        <v>7.1288999999999998</v>
      </c>
    </row>
    <row r="57" spans="1:20" x14ac:dyDescent="0.25">
      <c r="A57" t="s">
        <v>71</v>
      </c>
      <c r="B57" s="8" t="s">
        <v>131</v>
      </c>
      <c r="C57" s="3">
        <v>711900</v>
      </c>
      <c r="D57" s="3">
        <v>0</v>
      </c>
      <c r="E57" s="3">
        <v>20237400</v>
      </c>
      <c r="F57" s="3">
        <v>20583900</v>
      </c>
      <c r="G57" s="3">
        <v>4729500</v>
      </c>
      <c r="H57" s="3">
        <v>1010700</v>
      </c>
      <c r="I57" s="3">
        <v>53100</v>
      </c>
      <c r="J57" s="3">
        <v>2871900</v>
      </c>
      <c r="K57" s="3">
        <v>14747400</v>
      </c>
      <c r="L57" s="3">
        <v>12868200</v>
      </c>
      <c r="M57" s="3">
        <v>729900</v>
      </c>
      <c r="N57" s="3">
        <v>311400</v>
      </c>
      <c r="O57" s="3">
        <v>834300</v>
      </c>
      <c r="P57" s="3">
        <v>0</v>
      </c>
      <c r="Q57" s="3">
        <v>3979800</v>
      </c>
      <c r="R57" s="3">
        <v>555300</v>
      </c>
      <c r="S57">
        <f t="shared" si="0"/>
        <v>84224700</v>
      </c>
      <c r="T57">
        <f t="shared" si="1"/>
        <v>84.224699999999999</v>
      </c>
    </row>
    <row r="58" spans="1:20" x14ac:dyDescent="0.25">
      <c r="A58" t="s">
        <v>72</v>
      </c>
      <c r="B58" s="8" t="s">
        <v>151</v>
      </c>
      <c r="C58" s="3">
        <v>535500</v>
      </c>
      <c r="D58" s="3">
        <v>0</v>
      </c>
      <c r="E58" s="3">
        <v>2232900</v>
      </c>
      <c r="F58" s="3">
        <v>1026900</v>
      </c>
      <c r="G58" s="3">
        <v>63000</v>
      </c>
      <c r="H58" s="3">
        <v>6300</v>
      </c>
      <c r="I58" s="3">
        <v>8100</v>
      </c>
      <c r="J58" s="3">
        <v>1534500</v>
      </c>
      <c r="K58" s="3">
        <v>24513300</v>
      </c>
      <c r="L58" s="3">
        <v>18177300</v>
      </c>
      <c r="M58" s="3">
        <v>2285100</v>
      </c>
      <c r="N58" s="3">
        <v>698400</v>
      </c>
      <c r="O58" s="3">
        <v>105300</v>
      </c>
      <c r="P58" s="3">
        <v>0</v>
      </c>
      <c r="Q58" s="3">
        <v>2223000</v>
      </c>
      <c r="R58" s="3">
        <v>33300</v>
      </c>
      <c r="S58">
        <f t="shared" si="0"/>
        <v>53442900</v>
      </c>
      <c r="T58">
        <f t="shared" si="1"/>
        <v>53.442900000000002</v>
      </c>
    </row>
    <row r="59" spans="1:20" x14ac:dyDescent="0.25">
      <c r="A59" t="s">
        <v>73</v>
      </c>
      <c r="B59" s="8" t="s">
        <v>152</v>
      </c>
      <c r="C59" s="3">
        <v>767700</v>
      </c>
      <c r="D59" s="3">
        <v>0</v>
      </c>
      <c r="E59" s="3">
        <v>9394200</v>
      </c>
      <c r="F59" s="3">
        <v>11111400</v>
      </c>
      <c r="G59" s="3">
        <v>6769800</v>
      </c>
      <c r="H59" s="3">
        <v>1303200</v>
      </c>
      <c r="I59" s="3">
        <v>303300</v>
      </c>
      <c r="J59" s="3">
        <v>1120500</v>
      </c>
      <c r="K59" s="3">
        <v>2265300</v>
      </c>
      <c r="L59" s="3">
        <v>6127200</v>
      </c>
      <c r="M59" s="3">
        <v>512100</v>
      </c>
      <c r="N59" s="3">
        <v>169200</v>
      </c>
      <c r="O59" s="3">
        <v>560700</v>
      </c>
      <c r="P59" s="3">
        <v>0</v>
      </c>
      <c r="Q59" s="3">
        <v>1735200</v>
      </c>
      <c r="R59" s="3">
        <v>58500</v>
      </c>
      <c r="S59">
        <f t="shared" si="0"/>
        <v>42198300</v>
      </c>
      <c r="T59">
        <f t="shared" si="1"/>
        <v>42.198300000000003</v>
      </c>
    </row>
    <row r="60" spans="1:20" x14ac:dyDescent="0.25">
      <c r="A60" t="s">
        <v>74</v>
      </c>
      <c r="B60" s="8" t="s">
        <v>124</v>
      </c>
      <c r="C60" s="3">
        <v>36900</v>
      </c>
      <c r="D60" s="3">
        <v>0</v>
      </c>
      <c r="E60" s="3">
        <v>2572200</v>
      </c>
      <c r="F60" s="3">
        <v>6586200</v>
      </c>
      <c r="G60" s="3">
        <v>6057000</v>
      </c>
      <c r="H60" s="3">
        <v>3426300</v>
      </c>
      <c r="I60" s="3">
        <v>12600</v>
      </c>
      <c r="J60" s="3">
        <v>81900</v>
      </c>
      <c r="K60" s="3">
        <v>1767600</v>
      </c>
      <c r="L60" s="3">
        <v>284400</v>
      </c>
      <c r="M60" s="3">
        <v>40500</v>
      </c>
      <c r="N60" s="3">
        <v>2700</v>
      </c>
      <c r="O60" s="3">
        <v>51300</v>
      </c>
      <c r="P60" s="3">
        <v>0</v>
      </c>
      <c r="Q60" s="3">
        <v>342900</v>
      </c>
      <c r="R60" s="3">
        <v>45000</v>
      </c>
      <c r="S60">
        <f t="shared" si="0"/>
        <v>21307500</v>
      </c>
      <c r="T60">
        <f t="shared" si="1"/>
        <v>21.307500000000001</v>
      </c>
    </row>
    <row r="61" spans="1:20" x14ac:dyDescent="0.25">
      <c r="A61" t="s">
        <v>75</v>
      </c>
      <c r="B61" s="8" t="s">
        <v>129</v>
      </c>
      <c r="C61" s="3">
        <v>437400</v>
      </c>
      <c r="D61" s="3">
        <v>0</v>
      </c>
      <c r="E61" s="3">
        <v>9180000</v>
      </c>
      <c r="F61" s="3">
        <v>19414800</v>
      </c>
      <c r="G61" s="3">
        <v>22411800</v>
      </c>
      <c r="H61" s="3">
        <v>7588800</v>
      </c>
      <c r="I61" s="3">
        <v>53100</v>
      </c>
      <c r="J61" s="3">
        <v>920700</v>
      </c>
      <c r="K61" s="3">
        <v>1738800</v>
      </c>
      <c r="L61" s="3">
        <v>1779300</v>
      </c>
      <c r="M61" s="3">
        <v>63000</v>
      </c>
      <c r="N61" s="3">
        <v>37800</v>
      </c>
      <c r="O61" s="3">
        <v>56700</v>
      </c>
      <c r="P61" s="3">
        <v>0</v>
      </c>
      <c r="Q61" s="3">
        <v>2106000</v>
      </c>
      <c r="R61" s="3">
        <v>720900</v>
      </c>
      <c r="S61">
        <f t="shared" si="0"/>
        <v>66509100</v>
      </c>
      <c r="T61">
        <f t="shared" si="1"/>
        <v>66.509100000000004</v>
      </c>
    </row>
    <row r="62" spans="1:20" x14ac:dyDescent="0.25">
      <c r="A62" t="s">
        <v>76</v>
      </c>
      <c r="B62" s="8" t="s">
        <v>117</v>
      </c>
      <c r="C62" s="3">
        <v>43200</v>
      </c>
      <c r="D62" s="3">
        <v>0</v>
      </c>
      <c r="E62" s="3">
        <v>643500</v>
      </c>
      <c r="F62" s="3">
        <v>732600</v>
      </c>
      <c r="G62" s="3">
        <v>238500</v>
      </c>
      <c r="H62" s="3">
        <v>54900</v>
      </c>
      <c r="I62" s="3">
        <v>57600</v>
      </c>
      <c r="J62" s="3">
        <v>337500</v>
      </c>
      <c r="K62" s="3">
        <v>1461600</v>
      </c>
      <c r="L62" s="3">
        <v>1822500</v>
      </c>
      <c r="M62" s="3">
        <v>145800</v>
      </c>
      <c r="N62" s="3">
        <v>126000</v>
      </c>
      <c r="O62" s="3">
        <v>9900</v>
      </c>
      <c r="P62" s="3">
        <v>0</v>
      </c>
      <c r="Q62" s="3">
        <v>342000</v>
      </c>
      <c r="R62" s="3">
        <v>31500</v>
      </c>
      <c r="S62">
        <f t="shared" si="0"/>
        <v>6047100</v>
      </c>
      <c r="T62">
        <f t="shared" si="1"/>
        <v>6.0471000000000004</v>
      </c>
    </row>
    <row r="63" spans="1:20" x14ac:dyDescent="0.25">
      <c r="A63" t="s">
        <v>77</v>
      </c>
      <c r="B63" s="8" t="s">
        <v>117</v>
      </c>
      <c r="C63" s="3">
        <v>43200</v>
      </c>
      <c r="D63" s="3">
        <v>0</v>
      </c>
      <c r="E63" s="3">
        <v>637200</v>
      </c>
      <c r="F63" s="3">
        <v>730800</v>
      </c>
      <c r="G63" s="3">
        <v>238500</v>
      </c>
      <c r="H63" s="3">
        <v>54900</v>
      </c>
      <c r="I63" s="3">
        <v>57600</v>
      </c>
      <c r="J63" s="3">
        <v>337500</v>
      </c>
      <c r="K63" s="3">
        <v>1461600</v>
      </c>
      <c r="L63" s="3">
        <v>1822500</v>
      </c>
      <c r="M63" s="3">
        <v>145800</v>
      </c>
      <c r="N63" s="3">
        <v>126000</v>
      </c>
      <c r="O63" s="3">
        <v>9900</v>
      </c>
      <c r="P63" s="3">
        <v>0</v>
      </c>
      <c r="Q63" s="3">
        <v>342000</v>
      </c>
      <c r="R63" s="3">
        <v>31500</v>
      </c>
      <c r="S63">
        <f t="shared" si="0"/>
        <v>6039000</v>
      </c>
      <c r="T63">
        <f t="shared" si="1"/>
        <v>6.0389999999999997</v>
      </c>
    </row>
    <row r="64" spans="1:20" x14ac:dyDescent="0.25">
      <c r="A64" t="s">
        <v>78</v>
      </c>
      <c r="B64" s="8" t="s">
        <v>153</v>
      </c>
      <c r="C64" s="3">
        <v>27000</v>
      </c>
      <c r="D64" s="3">
        <v>0</v>
      </c>
      <c r="E64" s="3">
        <v>2497500</v>
      </c>
      <c r="F64" s="3">
        <v>2202300</v>
      </c>
      <c r="G64" s="3">
        <v>1112400</v>
      </c>
      <c r="H64" s="3">
        <v>344700</v>
      </c>
      <c r="I64" s="3">
        <v>10800</v>
      </c>
      <c r="J64" s="3">
        <v>89100</v>
      </c>
      <c r="K64" s="3">
        <v>808200</v>
      </c>
      <c r="L64" s="3">
        <v>1720800</v>
      </c>
      <c r="M64" s="3">
        <v>98100</v>
      </c>
      <c r="N64" s="3">
        <v>8100</v>
      </c>
      <c r="O64" s="3">
        <v>423900</v>
      </c>
      <c r="P64" s="3">
        <v>0</v>
      </c>
      <c r="Q64" s="3">
        <v>199800</v>
      </c>
      <c r="R64" s="3">
        <v>74700</v>
      </c>
      <c r="S64">
        <f t="shared" si="0"/>
        <v>9617400</v>
      </c>
      <c r="T64">
        <f t="shared" si="1"/>
        <v>9.6173999999999999</v>
      </c>
    </row>
    <row r="65" spans="1:20" x14ac:dyDescent="0.25">
      <c r="A65" t="s">
        <v>79</v>
      </c>
      <c r="B65" s="8" t="s">
        <v>154</v>
      </c>
      <c r="C65" s="3">
        <v>8100</v>
      </c>
      <c r="D65" s="3">
        <v>0</v>
      </c>
      <c r="E65" s="3">
        <v>39600</v>
      </c>
      <c r="F65" s="3">
        <v>16200</v>
      </c>
      <c r="G65" s="3">
        <v>2700</v>
      </c>
      <c r="H65" s="3">
        <v>0</v>
      </c>
      <c r="I65" s="3">
        <v>3600</v>
      </c>
      <c r="J65" s="3">
        <v>569700</v>
      </c>
      <c r="K65" s="3">
        <v>24232500</v>
      </c>
      <c r="L65" s="3">
        <v>9532800</v>
      </c>
      <c r="M65" s="3">
        <v>5239800</v>
      </c>
      <c r="N65" s="3">
        <v>877500</v>
      </c>
      <c r="O65" s="3">
        <v>1800</v>
      </c>
      <c r="P65" s="3">
        <v>0</v>
      </c>
      <c r="Q65" s="3">
        <v>2508300</v>
      </c>
      <c r="R65" s="3">
        <v>33300</v>
      </c>
      <c r="S65">
        <f t="shared" si="0"/>
        <v>43065900</v>
      </c>
      <c r="T65">
        <f t="shared" si="1"/>
        <v>43.065899999999999</v>
      </c>
    </row>
    <row r="66" spans="1:20" x14ac:dyDescent="0.25">
      <c r="A66" t="s">
        <v>80</v>
      </c>
      <c r="B66" s="8" t="s">
        <v>155</v>
      </c>
      <c r="C66" s="3">
        <v>376200</v>
      </c>
      <c r="D66" s="3">
        <v>0</v>
      </c>
      <c r="E66" s="3">
        <v>2145600</v>
      </c>
      <c r="F66" s="3">
        <v>1841400</v>
      </c>
      <c r="G66" s="3">
        <v>84600</v>
      </c>
      <c r="H66" s="3">
        <v>13500</v>
      </c>
      <c r="I66" s="3">
        <v>900</v>
      </c>
      <c r="J66" s="3">
        <v>586800</v>
      </c>
      <c r="K66" s="3">
        <v>4021200</v>
      </c>
      <c r="L66" s="3">
        <v>8911800</v>
      </c>
      <c r="M66" s="3">
        <v>1880100</v>
      </c>
      <c r="N66" s="3">
        <v>235800</v>
      </c>
      <c r="O66" s="3">
        <v>35100</v>
      </c>
      <c r="P66" s="3">
        <v>0</v>
      </c>
      <c r="Q66" s="3">
        <v>904500</v>
      </c>
      <c r="R66" s="3">
        <v>59400</v>
      </c>
      <c r="S66">
        <f t="shared" si="0"/>
        <v>21096900</v>
      </c>
      <c r="T66">
        <f t="shared" si="1"/>
        <v>21.096900000000002</v>
      </c>
    </row>
    <row r="67" spans="1:20" x14ac:dyDescent="0.25">
      <c r="A67" t="s">
        <v>81</v>
      </c>
      <c r="B67" s="8" t="s">
        <v>150</v>
      </c>
      <c r="C67" s="3">
        <v>900</v>
      </c>
      <c r="D67" s="3">
        <v>0</v>
      </c>
      <c r="E67" s="3">
        <v>342000</v>
      </c>
      <c r="F67" s="3">
        <v>1317600</v>
      </c>
      <c r="G67" s="3">
        <v>3158100</v>
      </c>
      <c r="H67" s="3">
        <v>576000</v>
      </c>
      <c r="I67" s="3">
        <v>900</v>
      </c>
      <c r="J67" s="3">
        <v>219600</v>
      </c>
      <c r="K67" s="3">
        <v>1800</v>
      </c>
      <c r="L67" s="3">
        <v>6300</v>
      </c>
      <c r="M67" s="3">
        <v>17100</v>
      </c>
      <c r="N67" s="3">
        <v>0</v>
      </c>
      <c r="O67" s="3">
        <v>19800</v>
      </c>
      <c r="P67" s="3">
        <v>0</v>
      </c>
      <c r="Q67" s="3">
        <v>18000</v>
      </c>
      <c r="R67" s="3">
        <v>0</v>
      </c>
      <c r="S67">
        <f t="shared" si="0"/>
        <v>5678100</v>
      </c>
      <c r="T67">
        <f t="shared" si="1"/>
        <v>5.6780999999999997</v>
      </c>
    </row>
    <row r="68" spans="1:20" x14ac:dyDescent="0.25">
      <c r="A68" t="s">
        <v>82</v>
      </c>
      <c r="B68" s="8" t="s">
        <v>131</v>
      </c>
      <c r="C68" s="3">
        <v>261000</v>
      </c>
      <c r="D68" s="3">
        <v>0</v>
      </c>
      <c r="E68" s="3">
        <v>7647300</v>
      </c>
      <c r="F68" s="3">
        <v>6623100</v>
      </c>
      <c r="G68" s="3">
        <v>1050300</v>
      </c>
      <c r="H68" s="3">
        <v>212400</v>
      </c>
      <c r="I68" s="3">
        <v>20700</v>
      </c>
      <c r="J68" s="3">
        <v>1268100</v>
      </c>
      <c r="K68" s="3">
        <v>6945300</v>
      </c>
      <c r="L68" s="3">
        <v>8282700</v>
      </c>
      <c r="M68" s="3">
        <v>522900</v>
      </c>
      <c r="N68" s="3">
        <v>219600</v>
      </c>
      <c r="O68" s="3">
        <v>114300</v>
      </c>
      <c r="P68" s="3">
        <v>0</v>
      </c>
      <c r="Q68" s="3">
        <v>2088900</v>
      </c>
      <c r="R68" s="3">
        <v>198000</v>
      </c>
      <c r="S68">
        <f t="shared" ref="S68:S95" si="2">SUM(C68:R68)</f>
        <v>35454600</v>
      </c>
      <c r="T68">
        <f t="shared" ref="T68:T95" si="3">S68/1000000</f>
        <v>35.454599999999999</v>
      </c>
    </row>
    <row r="69" spans="1:20" x14ac:dyDescent="0.25">
      <c r="A69" t="s">
        <v>83</v>
      </c>
      <c r="B69" s="8" t="s">
        <v>156</v>
      </c>
      <c r="C69" s="3">
        <v>900</v>
      </c>
      <c r="D69" s="3">
        <v>0</v>
      </c>
      <c r="E69" s="3">
        <v>209700</v>
      </c>
      <c r="F69" s="3">
        <v>1476900</v>
      </c>
      <c r="G69" s="3">
        <v>3497400</v>
      </c>
      <c r="H69" s="3">
        <v>707400</v>
      </c>
      <c r="I69" s="3">
        <v>3600</v>
      </c>
      <c r="J69" s="3">
        <v>294300</v>
      </c>
      <c r="K69" s="3">
        <v>37800</v>
      </c>
      <c r="L69" s="3">
        <v>220500</v>
      </c>
      <c r="M69" s="3">
        <v>2700</v>
      </c>
      <c r="N69" s="3">
        <v>2700</v>
      </c>
      <c r="O69" s="3">
        <v>0</v>
      </c>
      <c r="P69" s="3">
        <v>0</v>
      </c>
      <c r="Q69" s="3">
        <v>110700</v>
      </c>
      <c r="R69" s="3">
        <v>0</v>
      </c>
      <c r="S69">
        <f t="shared" si="2"/>
        <v>6564600</v>
      </c>
      <c r="T69">
        <f t="shared" si="3"/>
        <v>6.5646000000000004</v>
      </c>
    </row>
    <row r="70" spans="1:20" x14ac:dyDescent="0.25">
      <c r="A70" t="s">
        <v>84</v>
      </c>
      <c r="B70" s="8" t="s">
        <v>156</v>
      </c>
      <c r="C70" s="3">
        <v>900</v>
      </c>
      <c r="D70" s="3">
        <v>0</v>
      </c>
      <c r="E70" s="3">
        <v>118800</v>
      </c>
      <c r="F70" s="3">
        <v>904500</v>
      </c>
      <c r="G70" s="3">
        <v>2456100</v>
      </c>
      <c r="H70" s="3">
        <v>600300</v>
      </c>
      <c r="I70" s="3">
        <v>2700</v>
      </c>
      <c r="J70" s="3">
        <v>154800</v>
      </c>
      <c r="K70" s="3">
        <v>12600</v>
      </c>
      <c r="L70" s="3">
        <v>45000</v>
      </c>
      <c r="M70" s="3">
        <v>2700</v>
      </c>
      <c r="N70" s="3">
        <v>2700</v>
      </c>
      <c r="O70" s="3">
        <v>0</v>
      </c>
      <c r="P70" s="3">
        <v>0</v>
      </c>
      <c r="Q70" s="3">
        <v>40500</v>
      </c>
      <c r="R70" s="3">
        <v>0</v>
      </c>
      <c r="S70">
        <f t="shared" si="2"/>
        <v>4341600</v>
      </c>
      <c r="T70">
        <f t="shared" si="3"/>
        <v>4.3415999999999997</v>
      </c>
    </row>
    <row r="71" spans="1:20" x14ac:dyDescent="0.25">
      <c r="A71" t="s">
        <v>85</v>
      </c>
      <c r="B71" s="8" t="s">
        <v>156</v>
      </c>
      <c r="C71" s="3">
        <v>900</v>
      </c>
      <c r="D71" s="3">
        <v>0</v>
      </c>
      <c r="E71" s="3">
        <v>129600</v>
      </c>
      <c r="F71" s="3">
        <v>940500</v>
      </c>
      <c r="G71" s="3">
        <v>2511900</v>
      </c>
      <c r="H71" s="3">
        <v>602100</v>
      </c>
      <c r="I71" s="3">
        <v>2700</v>
      </c>
      <c r="J71" s="3">
        <v>175500</v>
      </c>
      <c r="K71" s="3">
        <v>12600</v>
      </c>
      <c r="L71" s="3">
        <v>77400</v>
      </c>
      <c r="M71" s="3">
        <v>2700</v>
      </c>
      <c r="N71" s="3">
        <v>2700</v>
      </c>
      <c r="O71" s="3">
        <v>0</v>
      </c>
      <c r="P71" s="3">
        <v>0</v>
      </c>
      <c r="Q71" s="3">
        <v>45000</v>
      </c>
      <c r="R71" s="3">
        <v>0</v>
      </c>
      <c r="S71">
        <f t="shared" si="2"/>
        <v>4503600</v>
      </c>
      <c r="T71">
        <f t="shared" si="3"/>
        <v>4.5035999999999996</v>
      </c>
    </row>
    <row r="72" spans="1:20" x14ac:dyDescent="0.25">
      <c r="A72" t="s">
        <v>86</v>
      </c>
      <c r="B72" s="8" t="s">
        <v>157</v>
      </c>
      <c r="C72" s="3">
        <v>0</v>
      </c>
      <c r="D72" s="3">
        <v>0</v>
      </c>
      <c r="E72" s="3">
        <v>31500</v>
      </c>
      <c r="F72" s="3">
        <v>450000</v>
      </c>
      <c r="G72" s="3">
        <v>936000</v>
      </c>
      <c r="H72" s="3">
        <v>104400</v>
      </c>
      <c r="I72" s="3">
        <v>0</v>
      </c>
      <c r="J72" s="3">
        <v>5400</v>
      </c>
      <c r="K72" s="3">
        <v>20700</v>
      </c>
      <c r="L72" s="3">
        <v>63000</v>
      </c>
      <c r="M72" s="3">
        <v>0</v>
      </c>
      <c r="N72" s="3">
        <v>0</v>
      </c>
      <c r="O72" s="3">
        <v>0</v>
      </c>
      <c r="P72" s="3">
        <v>0</v>
      </c>
      <c r="Q72" s="3">
        <v>43200</v>
      </c>
      <c r="R72" s="3">
        <v>0</v>
      </c>
      <c r="S72">
        <f t="shared" si="2"/>
        <v>1654200</v>
      </c>
      <c r="T72">
        <f t="shared" si="3"/>
        <v>1.6541999999999999</v>
      </c>
    </row>
    <row r="73" spans="1:20" x14ac:dyDescent="0.25">
      <c r="A73" t="s">
        <v>87</v>
      </c>
      <c r="B73" s="8" t="s">
        <v>158</v>
      </c>
      <c r="C73" s="3">
        <v>288000</v>
      </c>
      <c r="D73" s="3">
        <v>0</v>
      </c>
      <c r="E73" s="3">
        <v>1426500</v>
      </c>
      <c r="F73" s="3">
        <v>1394100</v>
      </c>
      <c r="G73" s="3">
        <v>900900</v>
      </c>
      <c r="H73" s="3">
        <v>125100</v>
      </c>
      <c r="I73" s="3">
        <v>533700</v>
      </c>
      <c r="J73" s="3">
        <v>440100</v>
      </c>
      <c r="K73" s="3">
        <v>3470400</v>
      </c>
      <c r="L73" s="3">
        <v>5236200</v>
      </c>
      <c r="M73" s="3">
        <v>1114200</v>
      </c>
      <c r="N73" s="3">
        <v>846000</v>
      </c>
      <c r="O73" s="3">
        <v>468000</v>
      </c>
      <c r="P73" s="3">
        <v>0</v>
      </c>
      <c r="Q73" s="3">
        <v>1437300</v>
      </c>
      <c r="R73" s="3">
        <v>62100</v>
      </c>
      <c r="S73">
        <f t="shared" si="2"/>
        <v>17742600</v>
      </c>
      <c r="T73">
        <f t="shared" si="3"/>
        <v>17.742599999999999</v>
      </c>
    </row>
    <row r="74" spans="1:20" x14ac:dyDescent="0.25">
      <c r="A74" t="s">
        <v>88</v>
      </c>
      <c r="B74" s="8" t="s">
        <v>159</v>
      </c>
      <c r="C74" s="3">
        <v>88200</v>
      </c>
      <c r="D74" s="3">
        <v>0</v>
      </c>
      <c r="E74" s="3">
        <v>253800</v>
      </c>
      <c r="F74" s="3">
        <v>401400</v>
      </c>
      <c r="G74" s="3">
        <v>304200</v>
      </c>
      <c r="H74" s="3">
        <v>36000</v>
      </c>
      <c r="I74" s="3">
        <v>51300</v>
      </c>
      <c r="J74" s="3">
        <v>95400</v>
      </c>
      <c r="K74" s="3">
        <v>3083400</v>
      </c>
      <c r="L74" s="3">
        <v>2021400</v>
      </c>
      <c r="M74" s="3">
        <v>1579500</v>
      </c>
      <c r="N74" s="3">
        <v>115200</v>
      </c>
      <c r="O74" s="3">
        <v>117000</v>
      </c>
      <c r="P74" s="3">
        <v>0</v>
      </c>
      <c r="Q74" s="3">
        <v>440100</v>
      </c>
      <c r="R74" s="3">
        <v>15300</v>
      </c>
      <c r="S74">
        <f t="shared" si="2"/>
        <v>8602200</v>
      </c>
      <c r="T74">
        <f t="shared" si="3"/>
        <v>8.6021999999999998</v>
      </c>
    </row>
    <row r="75" spans="1:20" ht="26.25" x14ac:dyDescent="0.25">
      <c r="A75" t="s">
        <v>89</v>
      </c>
      <c r="B75" s="8" t="s">
        <v>160</v>
      </c>
      <c r="C75" s="3">
        <v>7585200</v>
      </c>
      <c r="D75" s="3">
        <v>1024200</v>
      </c>
      <c r="E75" s="3">
        <v>3587400</v>
      </c>
      <c r="F75" s="3">
        <v>1263600</v>
      </c>
      <c r="G75" s="3">
        <v>401400</v>
      </c>
      <c r="H75" s="3">
        <v>95400</v>
      </c>
      <c r="I75" s="3">
        <v>19313100</v>
      </c>
      <c r="J75" s="3">
        <v>6470100</v>
      </c>
      <c r="K75" s="3">
        <v>327182400</v>
      </c>
      <c r="L75" s="3">
        <v>32070600</v>
      </c>
      <c r="M75" s="3">
        <v>30108600</v>
      </c>
      <c r="N75" s="3">
        <v>11613600</v>
      </c>
      <c r="O75" s="3">
        <v>259200</v>
      </c>
      <c r="P75" s="3">
        <v>0</v>
      </c>
      <c r="Q75" s="3">
        <v>1645200</v>
      </c>
      <c r="R75" s="3">
        <v>128700</v>
      </c>
      <c r="S75">
        <f t="shared" si="2"/>
        <v>442748700</v>
      </c>
      <c r="T75">
        <f t="shared" si="3"/>
        <v>442.74869999999999</v>
      </c>
    </row>
    <row r="76" spans="1:20" ht="26.25" x14ac:dyDescent="0.25">
      <c r="A76" t="s">
        <v>90</v>
      </c>
      <c r="B76" s="8" t="s">
        <v>161</v>
      </c>
      <c r="C76" s="3">
        <v>437400</v>
      </c>
      <c r="D76" s="3">
        <v>0</v>
      </c>
      <c r="E76" s="3">
        <v>6849900</v>
      </c>
      <c r="F76" s="3">
        <v>7531200</v>
      </c>
      <c r="G76" s="3">
        <v>1538100</v>
      </c>
      <c r="H76" s="3">
        <v>556200</v>
      </c>
      <c r="I76" s="3">
        <v>8100</v>
      </c>
      <c r="J76" s="3">
        <v>851400</v>
      </c>
      <c r="K76" s="3">
        <v>5755500</v>
      </c>
      <c r="L76" s="3">
        <v>2439900</v>
      </c>
      <c r="M76" s="3">
        <v>126900</v>
      </c>
      <c r="N76" s="3">
        <v>27000</v>
      </c>
      <c r="O76" s="3">
        <v>82800</v>
      </c>
      <c r="P76" s="3">
        <v>0</v>
      </c>
      <c r="Q76" s="3">
        <v>1166400</v>
      </c>
      <c r="R76" s="3">
        <v>149400</v>
      </c>
      <c r="S76">
        <f t="shared" si="2"/>
        <v>27520200</v>
      </c>
      <c r="T76">
        <f t="shared" si="3"/>
        <v>27.520199999999999</v>
      </c>
    </row>
    <row r="77" spans="1:20" ht="26.25" x14ac:dyDescent="0.25">
      <c r="A77" t="s">
        <v>91</v>
      </c>
      <c r="B77" s="8" t="s">
        <v>161</v>
      </c>
      <c r="C77" s="3">
        <v>437400</v>
      </c>
      <c r="D77" s="3">
        <v>0</v>
      </c>
      <c r="E77" s="3">
        <v>6788700</v>
      </c>
      <c r="F77" s="3">
        <v>7409700</v>
      </c>
      <c r="G77" s="3">
        <v>1514700</v>
      </c>
      <c r="H77" s="3">
        <v>553500</v>
      </c>
      <c r="I77" s="3">
        <v>8100</v>
      </c>
      <c r="J77" s="3">
        <v>851400</v>
      </c>
      <c r="K77" s="3">
        <v>5688900</v>
      </c>
      <c r="L77" s="3">
        <v>2439900</v>
      </c>
      <c r="M77" s="3">
        <v>126900</v>
      </c>
      <c r="N77" s="3">
        <v>27000</v>
      </c>
      <c r="O77" s="3">
        <v>82800</v>
      </c>
      <c r="P77" s="3">
        <v>0</v>
      </c>
      <c r="Q77" s="3">
        <v>1077300</v>
      </c>
      <c r="R77" s="3">
        <v>149400</v>
      </c>
      <c r="S77">
        <f t="shared" si="2"/>
        <v>27155700</v>
      </c>
      <c r="T77">
        <f t="shared" si="3"/>
        <v>27.1557</v>
      </c>
    </row>
    <row r="78" spans="1:20" ht="26.25" x14ac:dyDescent="0.25">
      <c r="A78" t="s">
        <v>92</v>
      </c>
      <c r="B78" s="8" t="s">
        <v>162</v>
      </c>
      <c r="C78" s="3">
        <v>4078800</v>
      </c>
      <c r="D78" s="3">
        <v>0</v>
      </c>
      <c r="E78" s="3">
        <v>2582100</v>
      </c>
      <c r="F78" s="3">
        <v>933300</v>
      </c>
      <c r="G78" s="3">
        <v>216900</v>
      </c>
      <c r="H78" s="3">
        <v>22500</v>
      </c>
      <c r="I78" s="3">
        <v>1989000</v>
      </c>
      <c r="J78" s="3">
        <v>1317600</v>
      </c>
      <c r="K78" s="3">
        <v>206323200</v>
      </c>
      <c r="L78" s="3">
        <v>8990100</v>
      </c>
      <c r="M78" s="3">
        <v>27943200</v>
      </c>
      <c r="N78" s="3">
        <v>9445500</v>
      </c>
      <c r="O78" s="3">
        <v>170100</v>
      </c>
      <c r="P78" s="3">
        <v>0</v>
      </c>
      <c r="Q78" s="3">
        <v>2820600</v>
      </c>
      <c r="R78" s="3">
        <v>63000</v>
      </c>
      <c r="S78">
        <f t="shared" si="2"/>
        <v>266895900</v>
      </c>
      <c r="T78">
        <f t="shared" si="3"/>
        <v>266.89589999999998</v>
      </c>
    </row>
    <row r="79" spans="1:20" x14ac:dyDescent="0.25">
      <c r="A79" t="s">
        <v>93</v>
      </c>
      <c r="B79" s="8" t="s">
        <v>163</v>
      </c>
      <c r="C79" s="3">
        <v>27900</v>
      </c>
      <c r="D79" s="3">
        <v>0</v>
      </c>
      <c r="E79" s="3">
        <v>5573700</v>
      </c>
      <c r="F79" s="3">
        <v>5795100</v>
      </c>
      <c r="G79" s="3">
        <v>1611900</v>
      </c>
      <c r="H79" s="3">
        <v>106200</v>
      </c>
      <c r="I79" s="3">
        <v>44100</v>
      </c>
      <c r="J79" s="3">
        <v>4442400</v>
      </c>
      <c r="K79" s="3">
        <v>4323600</v>
      </c>
      <c r="L79" s="3">
        <v>22259700</v>
      </c>
      <c r="M79" s="3">
        <v>933300</v>
      </c>
      <c r="N79" s="3">
        <v>474300</v>
      </c>
      <c r="O79" s="3">
        <v>4133700</v>
      </c>
      <c r="P79" s="3">
        <v>102600</v>
      </c>
      <c r="Q79" s="3">
        <v>1674000</v>
      </c>
      <c r="R79" s="3">
        <v>1359900</v>
      </c>
      <c r="S79">
        <f t="shared" si="2"/>
        <v>52862400</v>
      </c>
      <c r="T79">
        <f t="shared" si="3"/>
        <v>52.862400000000001</v>
      </c>
    </row>
    <row r="80" spans="1:20" x14ac:dyDescent="0.25">
      <c r="A80" t="s">
        <v>94</v>
      </c>
      <c r="B80" s="8" t="s">
        <v>164</v>
      </c>
      <c r="C80" s="3">
        <v>221400</v>
      </c>
      <c r="D80" s="3">
        <v>0</v>
      </c>
      <c r="E80" s="3">
        <v>2483100</v>
      </c>
      <c r="F80" s="3">
        <v>1660500</v>
      </c>
      <c r="G80" s="3">
        <v>1088100</v>
      </c>
      <c r="H80" s="3">
        <v>128700</v>
      </c>
      <c r="I80" s="3">
        <v>88200</v>
      </c>
      <c r="J80" s="3">
        <v>1669500</v>
      </c>
      <c r="K80" s="3">
        <v>49070700</v>
      </c>
      <c r="L80" s="3">
        <v>21560400</v>
      </c>
      <c r="M80" s="3">
        <v>2563200</v>
      </c>
      <c r="N80" s="3">
        <v>2490300</v>
      </c>
      <c r="O80" s="3">
        <v>42300</v>
      </c>
      <c r="P80" s="3">
        <v>0</v>
      </c>
      <c r="Q80" s="3">
        <v>577800</v>
      </c>
      <c r="R80" s="3">
        <v>900</v>
      </c>
      <c r="S80">
        <f t="shared" si="2"/>
        <v>83645100</v>
      </c>
      <c r="T80">
        <f t="shared" si="3"/>
        <v>83.645099999999999</v>
      </c>
    </row>
    <row r="81" spans="1:20" x14ac:dyDescent="0.25">
      <c r="A81" t="s">
        <v>95</v>
      </c>
      <c r="B81" s="8" t="s">
        <v>130</v>
      </c>
      <c r="C81" s="3">
        <v>9900</v>
      </c>
      <c r="D81" s="3">
        <v>0</v>
      </c>
      <c r="E81" s="3">
        <v>4059900</v>
      </c>
      <c r="F81" s="3">
        <v>3429000</v>
      </c>
      <c r="G81" s="3">
        <v>1691100</v>
      </c>
      <c r="H81" s="3">
        <v>209700</v>
      </c>
      <c r="I81" s="3">
        <v>10800</v>
      </c>
      <c r="J81" s="3">
        <v>350100</v>
      </c>
      <c r="K81" s="3">
        <v>2011500</v>
      </c>
      <c r="L81" s="3">
        <v>1846800</v>
      </c>
      <c r="M81" s="3">
        <v>95400</v>
      </c>
      <c r="N81" s="3">
        <v>56700</v>
      </c>
      <c r="O81" s="3">
        <v>27000</v>
      </c>
      <c r="P81" s="3">
        <v>0</v>
      </c>
      <c r="Q81" s="3">
        <v>644400</v>
      </c>
      <c r="R81" s="3">
        <v>10800</v>
      </c>
      <c r="S81">
        <f t="shared" si="2"/>
        <v>14453100</v>
      </c>
      <c r="T81">
        <f t="shared" si="3"/>
        <v>14.453099999999999</v>
      </c>
    </row>
    <row r="82" spans="1:20" x14ac:dyDescent="0.25">
      <c r="A82" t="s">
        <v>96</v>
      </c>
      <c r="B82" s="8" t="s">
        <v>146</v>
      </c>
      <c r="C82" s="3">
        <v>19800</v>
      </c>
      <c r="D82" s="3">
        <v>0</v>
      </c>
      <c r="E82" s="3">
        <v>5787900</v>
      </c>
      <c r="F82" s="3">
        <v>6035400</v>
      </c>
      <c r="G82" s="3">
        <v>1947600</v>
      </c>
      <c r="H82" s="3">
        <v>266400</v>
      </c>
      <c r="I82" s="3">
        <v>11700</v>
      </c>
      <c r="J82" s="3">
        <v>1141200</v>
      </c>
      <c r="K82" s="3">
        <v>2225700</v>
      </c>
      <c r="L82" s="3">
        <v>5076000</v>
      </c>
      <c r="M82" s="3">
        <v>246600</v>
      </c>
      <c r="N82" s="3">
        <v>105300</v>
      </c>
      <c r="O82" s="3">
        <v>145800</v>
      </c>
      <c r="P82" s="3">
        <v>0</v>
      </c>
      <c r="Q82" s="3">
        <v>1087200</v>
      </c>
      <c r="R82" s="3">
        <v>355500</v>
      </c>
      <c r="S82">
        <f t="shared" si="2"/>
        <v>24452100</v>
      </c>
      <c r="T82">
        <f t="shared" si="3"/>
        <v>24.452100000000002</v>
      </c>
    </row>
    <row r="83" spans="1:20" ht="26.25" x14ac:dyDescent="0.25">
      <c r="A83" t="s">
        <v>97</v>
      </c>
      <c r="B83" s="8" t="s">
        <v>165</v>
      </c>
      <c r="C83" s="3">
        <v>1377900</v>
      </c>
      <c r="D83" s="3">
        <v>10800</v>
      </c>
      <c r="E83" s="3">
        <v>7446600</v>
      </c>
      <c r="F83" s="3">
        <v>6125400</v>
      </c>
      <c r="G83" s="3">
        <v>3965400</v>
      </c>
      <c r="H83" s="3">
        <v>860400</v>
      </c>
      <c r="I83" s="3">
        <v>1779300</v>
      </c>
      <c r="J83" s="3">
        <v>3017700</v>
      </c>
      <c r="K83" s="3">
        <v>146734200</v>
      </c>
      <c r="L83" s="3">
        <v>23215500</v>
      </c>
      <c r="M83" s="3">
        <v>16520400</v>
      </c>
      <c r="N83" s="3">
        <v>5576400</v>
      </c>
      <c r="O83" s="3">
        <v>383400</v>
      </c>
      <c r="P83" s="3">
        <v>0</v>
      </c>
      <c r="Q83" s="3">
        <v>1624500</v>
      </c>
      <c r="R83" s="3">
        <v>54900</v>
      </c>
      <c r="S83">
        <f t="shared" si="2"/>
        <v>218692800</v>
      </c>
      <c r="T83">
        <f t="shared" si="3"/>
        <v>218.69280000000001</v>
      </c>
    </row>
    <row r="84" spans="1:20" x14ac:dyDescent="0.25">
      <c r="A84" t="s">
        <v>98</v>
      </c>
      <c r="B84" s="8" t="s">
        <v>166</v>
      </c>
      <c r="C84" s="3">
        <v>8874000</v>
      </c>
      <c r="D84" s="3">
        <v>3805200</v>
      </c>
      <c r="E84" s="3">
        <v>6751800</v>
      </c>
      <c r="F84" s="3">
        <v>4121100</v>
      </c>
      <c r="G84" s="3">
        <v>628200</v>
      </c>
      <c r="H84" s="3">
        <v>129600</v>
      </c>
      <c r="I84" s="3">
        <v>22871700</v>
      </c>
      <c r="J84" s="3">
        <v>4678200</v>
      </c>
      <c r="K84" s="3">
        <v>517176000</v>
      </c>
      <c r="L84" s="3">
        <v>15840900</v>
      </c>
      <c r="M84" s="3">
        <v>42241500</v>
      </c>
      <c r="N84" s="3">
        <v>9276300</v>
      </c>
      <c r="O84" s="3">
        <v>311400</v>
      </c>
      <c r="P84" s="3">
        <v>563400</v>
      </c>
      <c r="Q84" s="3">
        <v>1539900</v>
      </c>
      <c r="R84" s="3">
        <v>113400</v>
      </c>
      <c r="S84">
        <f t="shared" si="2"/>
        <v>638922600</v>
      </c>
      <c r="T84">
        <f t="shared" si="3"/>
        <v>638.92259999999999</v>
      </c>
    </row>
    <row r="85" spans="1:20" x14ac:dyDescent="0.25">
      <c r="A85" t="s">
        <v>99</v>
      </c>
      <c r="B85" s="8" t="s">
        <v>167</v>
      </c>
      <c r="C85" s="3">
        <v>23431500</v>
      </c>
      <c r="D85" s="3">
        <v>1035000</v>
      </c>
      <c r="E85" s="3">
        <v>48856500</v>
      </c>
      <c r="F85" s="3">
        <v>36311400</v>
      </c>
      <c r="G85" s="3">
        <v>14959800</v>
      </c>
      <c r="H85" s="3">
        <v>2698200</v>
      </c>
      <c r="I85" s="3">
        <v>24473700</v>
      </c>
      <c r="J85" s="3">
        <v>29917800</v>
      </c>
      <c r="K85" s="3">
        <v>1013217300</v>
      </c>
      <c r="L85" s="3">
        <v>221937300</v>
      </c>
      <c r="M85" s="3">
        <v>126833400</v>
      </c>
      <c r="N85" s="3">
        <v>42630300</v>
      </c>
      <c r="O85" s="3">
        <v>30608100</v>
      </c>
      <c r="P85" s="3">
        <v>2548800</v>
      </c>
      <c r="Q85" s="3">
        <v>32781600</v>
      </c>
      <c r="R85" s="3">
        <v>8271900</v>
      </c>
      <c r="S85">
        <f t="shared" si="2"/>
        <v>1660512600</v>
      </c>
      <c r="T85">
        <f t="shared" si="3"/>
        <v>1660.5126</v>
      </c>
    </row>
    <row r="86" spans="1:20" x14ac:dyDescent="0.25">
      <c r="A86" t="s">
        <v>100</v>
      </c>
      <c r="B86" s="8" t="s">
        <v>168</v>
      </c>
      <c r="C86" s="3">
        <v>5008500</v>
      </c>
      <c r="D86" s="3">
        <v>0</v>
      </c>
      <c r="E86" s="3">
        <v>3559500</v>
      </c>
      <c r="F86" s="3">
        <v>1417500</v>
      </c>
      <c r="G86" s="3">
        <v>270900</v>
      </c>
      <c r="H86" s="3">
        <v>67500</v>
      </c>
      <c r="I86" s="3">
        <v>311400</v>
      </c>
      <c r="J86" s="3">
        <v>2752200</v>
      </c>
      <c r="K86" s="3">
        <v>176386500</v>
      </c>
      <c r="L86" s="3">
        <v>24896700</v>
      </c>
      <c r="M86" s="3">
        <v>23099400</v>
      </c>
      <c r="N86" s="3">
        <v>6370200</v>
      </c>
      <c r="O86" s="3">
        <v>332100</v>
      </c>
      <c r="P86" s="3">
        <v>0</v>
      </c>
      <c r="Q86" s="3">
        <v>4700700</v>
      </c>
      <c r="R86" s="3">
        <v>329400</v>
      </c>
      <c r="S86">
        <f t="shared" si="2"/>
        <v>249502500</v>
      </c>
      <c r="T86">
        <f t="shared" si="3"/>
        <v>249.5025</v>
      </c>
    </row>
    <row r="87" spans="1:20" x14ac:dyDescent="0.25">
      <c r="A87" t="s">
        <v>101</v>
      </c>
      <c r="B87" s="8" t="s">
        <v>169</v>
      </c>
      <c r="C87" s="3">
        <v>900</v>
      </c>
      <c r="D87" s="3">
        <v>0</v>
      </c>
      <c r="E87" s="3">
        <v>1561500</v>
      </c>
      <c r="F87" s="3">
        <v>550800</v>
      </c>
      <c r="G87" s="3">
        <v>75600</v>
      </c>
      <c r="H87" s="3">
        <v>44100</v>
      </c>
      <c r="I87" s="3">
        <v>30600</v>
      </c>
      <c r="J87" s="3">
        <v>664200</v>
      </c>
      <c r="K87" s="3">
        <v>1681200</v>
      </c>
      <c r="L87" s="3">
        <v>2386800</v>
      </c>
      <c r="M87" s="3">
        <v>134100</v>
      </c>
      <c r="N87" s="3">
        <v>168300</v>
      </c>
      <c r="O87" s="3">
        <v>314100</v>
      </c>
      <c r="P87" s="3">
        <v>0</v>
      </c>
      <c r="Q87" s="3">
        <v>128700</v>
      </c>
      <c r="R87" s="3">
        <v>0</v>
      </c>
      <c r="S87">
        <f t="shared" si="2"/>
        <v>7740900</v>
      </c>
      <c r="T87">
        <f t="shared" si="3"/>
        <v>7.7408999999999999</v>
      </c>
    </row>
    <row r="88" spans="1:20" x14ac:dyDescent="0.25">
      <c r="A88" t="s">
        <v>102</v>
      </c>
      <c r="B88" s="8" t="s">
        <v>170</v>
      </c>
      <c r="C88" s="3">
        <v>0</v>
      </c>
      <c r="D88" s="3">
        <v>0</v>
      </c>
      <c r="E88" s="3">
        <v>179100</v>
      </c>
      <c r="F88" s="3">
        <v>108000</v>
      </c>
      <c r="G88" s="3">
        <v>13500</v>
      </c>
      <c r="H88" s="3">
        <v>1800</v>
      </c>
      <c r="I88" s="3">
        <v>2700</v>
      </c>
      <c r="J88" s="3">
        <v>32400</v>
      </c>
      <c r="K88" s="3">
        <v>836100</v>
      </c>
      <c r="L88" s="3">
        <v>413100</v>
      </c>
      <c r="M88" s="3">
        <v>51300</v>
      </c>
      <c r="N88" s="3">
        <v>19800</v>
      </c>
      <c r="O88" s="3">
        <v>583200</v>
      </c>
      <c r="P88" s="3">
        <v>0</v>
      </c>
      <c r="Q88" s="3">
        <v>6300</v>
      </c>
      <c r="R88" s="3">
        <v>0</v>
      </c>
      <c r="S88">
        <f t="shared" si="2"/>
        <v>2247300</v>
      </c>
      <c r="T88">
        <f t="shared" si="3"/>
        <v>2.2473000000000001</v>
      </c>
    </row>
    <row r="89" spans="1:20" x14ac:dyDescent="0.25">
      <c r="A89" t="s">
        <v>103</v>
      </c>
      <c r="B89" s="8" t="s">
        <v>171</v>
      </c>
      <c r="C89" s="3">
        <v>1800</v>
      </c>
      <c r="D89" s="3">
        <v>0</v>
      </c>
      <c r="E89" s="3">
        <v>474300</v>
      </c>
      <c r="F89" s="3">
        <v>227700</v>
      </c>
      <c r="G89" s="3">
        <v>13500</v>
      </c>
      <c r="H89" s="3">
        <v>1800</v>
      </c>
      <c r="I89" s="3">
        <v>0</v>
      </c>
      <c r="J89" s="3">
        <v>180900</v>
      </c>
      <c r="K89" s="3">
        <v>1965600</v>
      </c>
      <c r="L89" s="3">
        <v>1044000</v>
      </c>
      <c r="M89" s="3">
        <v>56700</v>
      </c>
      <c r="N89" s="3">
        <v>22500</v>
      </c>
      <c r="O89" s="3">
        <v>13500</v>
      </c>
      <c r="P89" s="3">
        <v>0</v>
      </c>
      <c r="Q89" s="3">
        <v>5400</v>
      </c>
      <c r="R89" s="3">
        <v>2700</v>
      </c>
      <c r="S89">
        <f t="shared" si="2"/>
        <v>4010400</v>
      </c>
      <c r="T89">
        <f t="shared" si="3"/>
        <v>4.0103999999999997</v>
      </c>
    </row>
    <row r="90" spans="1:20" x14ac:dyDescent="0.25">
      <c r="A90" t="s">
        <v>104</v>
      </c>
      <c r="B90" s="8" t="s">
        <v>172</v>
      </c>
      <c r="C90" s="3">
        <v>7200</v>
      </c>
      <c r="D90" s="3">
        <v>0</v>
      </c>
      <c r="E90" s="3">
        <v>531000</v>
      </c>
      <c r="F90" s="3">
        <v>255600</v>
      </c>
      <c r="G90" s="3">
        <v>16200</v>
      </c>
      <c r="H90" s="3">
        <v>900</v>
      </c>
      <c r="I90" s="3">
        <v>16200</v>
      </c>
      <c r="J90" s="3">
        <v>531900</v>
      </c>
      <c r="K90" s="3">
        <v>1711800</v>
      </c>
      <c r="L90" s="3">
        <v>767700</v>
      </c>
      <c r="M90" s="3">
        <v>76500</v>
      </c>
      <c r="N90" s="3">
        <v>47700</v>
      </c>
      <c r="O90" s="3">
        <v>974700</v>
      </c>
      <c r="P90" s="3">
        <v>0</v>
      </c>
      <c r="Q90" s="3">
        <v>14400</v>
      </c>
      <c r="R90" s="3">
        <v>0</v>
      </c>
      <c r="S90">
        <f t="shared" si="2"/>
        <v>4951800</v>
      </c>
      <c r="T90">
        <f t="shared" si="3"/>
        <v>4.9518000000000004</v>
      </c>
    </row>
    <row r="91" spans="1:20" x14ac:dyDescent="0.25">
      <c r="A91" t="s">
        <v>105</v>
      </c>
      <c r="B91" s="8" t="s">
        <v>173</v>
      </c>
      <c r="C91" s="3">
        <v>0</v>
      </c>
      <c r="D91" s="3">
        <v>0</v>
      </c>
      <c r="E91" s="3">
        <v>1618200</v>
      </c>
      <c r="F91" s="3">
        <v>688500</v>
      </c>
      <c r="G91" s="3">
        <v>134100</v>
      </c>
      <c r="H91" s="3">
        <v>47700</v>
      </c>
      <c r="I91" s="3">
        <v>40500</v>
      </c>
      <c r="J91" s="3">
        <v>847800</v>
      </c>
      <c r="K91" s="3">
        <v>3901500</v>
      </c>
      <c r="L91" s="3">
        <v>2581200</v>
      </c>
      <c r="M91" s="3">
        <v>318600</v>
      </c>
      <c r="N91" s="3">
        <v>257400</v>
      </c>
      <c r="O91" s="3">
        <v>1268100</v>
      </c>
      <c r="P91" s="3">
        <v>0</v>
      </c>
      <c r="Q91" s="3">
        <v>441000</v>
      </c>
      <c r="R91" s="3">
        <v>24300</v>
      </c>
      <c r="S91">
        <f t="shared" si="2"/>
        <v>12168900</v>
      </c>
      <c r="T91">
        <f t="shared" si="3"/>
        <v>12.168900000000001</v>
      </c>
    </row>
    <row r="92" spans="1:20" x14ac:dyDescent="0.25">
      <c r="A92" t="s">
        <v>106</v>
      </c>
      <c r="B92" s="8" t="s">
        <v>174</v>
      </c>
      <c r="C92" s="3">
        <v>0</v>
      </c>
      <c r="D92" s="3">
        <v>0</v>
      </c>
      <c r="E92" s="3">
        <v>73800</v>
      </c>
      <c r="F92" s="3">
        <v>36000</v>
      </c>
      <c r="G92" s="3">
        <v>5400</v>
      </c>
      <c r="H92" s="3">
        <v>900</v>
      </c>
      <c r="I92" s="3">
        <v>38700</v>
      </c>
      <c r="J92" s="3">
        <v>185400</v>
      </c>
      <c r="K92" s="3">
        <v>195300</v>
      </c>
      <c r="L92" s="3">
        <v>414000</v>
      </c>
      <c r="M92" s="3">
        <v>49500</v>
      </c>
      <c r="N92" s="3">
        <v>33300</v>
      </c>
      <c r="O92" s="3">
        <v>48600</v>
      </c>
      <c r="P92" s="3">
        <v>0</v>
      </c>
      <c r="Q92" s="3">
        <v>0</v>
      </c>
      <c r="R92" s="3">
        <v>0</v>
      </c>
      <c r="S92">
        <f t="shared" si="2"/>
        <v>1080900</v>
      </c>
      <c r="T92">
        <f t="shared" si="3"/>
        <v>1.0809</v>
      </c>
    </row>
    <row r="93" spans="1:20" x14ac:dyDescent="0.25">
      <c r="A93" t="s">
        <v>107</v>
      </c>
      <c r="B93" s="8" t="s">
        <v>175</v>
      </c>
      <c r="C93" s="3">
        <v>900</v>
      </c>
      <c r="D93" s="3">
        <v>0</v>
      </c>
      <c r="E93" s="3">
        <v>365400</v>
      </c>
      <c r="F93" s="3">
        <v>318600</v>
      </c>
      <c r="G93" s="3">
        <v>117900</v>
      </c>
      <c r="H93" s="3">
        <v>85500</v>
      </c>
      <c r="I93" s="3">
        <v>13500</v>
      </c>
      <c r="J93" s="3">
        <v>250200</v>
      </c>
      <c r="K93" s="3">
        <v>51300</v>
      </c>
      <c r="L93" s="3">
        <v>189000</v>
      </c>
      <c r="M93" s="3">
        <v>19800</v>
      </c>
      <c r="N93" s="3">
        <v>8100</v>
      </c>
      <c r="O93" s="3">
        <v>28800</v>
      </c>
      <c r="P93" s="3">
        <v>0</v>
      </c>
      <c r="Q93" s="3">
        <v>0</v>
      </c>
      <c r="R93" s="3">
        <v>0</v>
      </c>
      <c r="S93">
        <f t="shared" si="2"/>
        <v>1449000</v>
      </c>
      <c r="T93">
        <f t="shared" si="3"/>
        <v>1.4490000000000001</v>
      </c>
    </row>
    <row r="94" spans="1:20" x14ac:dyDescent="0.25">
      <c r="A94" t="s">
        <v>108</v>
      </c>
      <c r="B94" s="8" t="s">
        <v>121</v>
      </c>
      <c r="C94" s="3">
        <v>9287100</v>
      </c>
      <c r="D94" s="3">
        <v>0</v>
      </c>
      <c r="E94" s="3">
        <v>29829600</v>
      </c>
      <c r="F94" s="3">
        <v>27830700</v>
      </c>
      <c r="G94" s="3">
        <v>17668800</v>
      </c>
      <c r="H94" s="3">
        <v>4354200</v>
      </c>
      <c r="I94" s="3">
        <v>1053000</v>
      </c>
      <c r="J94" s="3">
        <v>6964200</v>
      </c>
      <c r="K94" s="3">
        <v>308238300</v>
      </c>
      <c r="L94" s="3">
        <v>65610900</v>
      </c>
      <c r="M94" s="3">
        <v>17493300</v>
      </c>
      <c r="N94" s="3">
        <v>2741400</v>
      </c>
      <c r="O94" s="3">
        <v>2843100</v>
      </c>
      <c r="P94" s="3">
        <v>0</v>
      </c>
      <c r="Q94" s="3">
        <v>7019100</v>
      </c>
      <c r="R94" s="3">
        <v>684000</v>
      </c>
      <c r="S94">
        <f t="shared" si="2"/>
        <v>501617700</v>
      </c>
      <c r="T94">
        <f t="shared" si="3"/>
        <v>501.61770000000001</v>
      </c>
    </row>
    <row r="95" spans="1:20" x14ac:dyDescent="0.25">
      <c r="A95" t="s">
        <v>109</v>
      </c>
      <c r="B95" s="8" t="s">
        <v>176</v>
      </c>
      <c r="C95" s="3">
        <v>900</v>
      </c>
      <c r="D95" s="3">
        <v>0</v>
      </c>
      <c r="E95" s="3">
        <v>634500</v>
      </c>
      <c r="F95" s="3">
        <v>674100</v>
      </c>
      <c r="G95" s="3">
        <v>699300</v>
      </c>
      <c r="H95" s="3">
        <v>213300</v>
      </c>
      <c r="I95" s="3">
        <v>2700</v>
      </c>
      <c r="J95" s="3">
        <v>2110500</v>
      </c>
      <c r="K95" s="3">
        <v>1286100</v>
      </c>
      <c r="L95" s="3">
        <v>5061600</v>
      </c>
      <c r="M95" s="3">
        <v>99000</v>
      </c>
      <c r="N95" s="3">
        <v>40500</v>
      </c>
      <c r="O95" s="3">
        <v>27900</v>
      </c>
      <c r="P95" s="3">
        <v>0</v>
      </c>
      <c r="Q95" s="3">
        <v>11700</v>
      </c>
      <c r="R95" s="3">
        <v>4500</v>
      </c>
      <c r="S95">
        <f t="shared" si="2"/>
        <v>10866600</v>
      </c>
      <c r="T95">
        <f t="shared" si="3"/>
        <v>10.8666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31AB4-F286-4205-A346-ED4D5FE79DEC}">
  <dimension ref="A1:V100"/>
  <sheetViews>
    <sheetView tabSelected="1" workbookViewId="0">
      <selection activeCell="E13" sqref="E13"/>
    </sheetView>
  </sheetViews>
  <sheetFormatPr defaultRowHeight="15" x14ac:dyDescent="0.25"/>
  <cols>
    <col min="1" max="1" width="17.28515625" bestFit="1" customWidth="1"/>
    <col min="2" max="2" width="17.28515625" customWidth="1"/>
    <col min="3" max="3" width="11.85546875" bestFit="1" customWidth="1"/>
    <col min="4" max="4" width="9.5703125" bestFit="1" customWidth="1"/>
    <col min="5" max="5" width="11.28515625" customWidth="1"/>
    <col min="6" max="6" width="11.42578125" bestFit="1" customWidth="1"/>
    <col min="7" max="7" width="12.85546875" bestFit="1" customWidth="1"/>
    <col min="8" max="8" width="11.28515625" bestFit="1" customWidth="1"/>
    <col min="9" max="9" width="13.42578125" customWidth="1"/>
    <col min="10" max="10" width="11.42578125" bestFit="1" customWidth="1"/>
    <col min="11" max="11" width="11.42578125" customWidth="1"/>
    <col min="12" max="12" width="10.28515625" bestFit="1" customWidth="1"/>
    <col min="13" max="13" width="10" bestFit="1" customWidth="1"/>
    <col min="14" max="14" width="12.7109375" bestFit="1" customWidth="1"/>
    <col min="15" max="15" width="11.85546875" bestFit="1" customWidth="1"/>
    <col min="16" max="16" width="13.140625" bestFit="1" customWidth="1"/>
    <col min="17" max="17" width="13.140625" customWidth="1"/>
    <col min="18" max="18" width="11.85546875" bestFit="1" customWidth="1"/>
    <col min="19" max="19" width="10.140625" bestFit="1" customWidth="1"/>
    <col min="20" max="20" width="10.140625" customWidth="1"/>
    <col min="21" max="21" width="9.5703125" bestFit="1" customWidth="1"/>
    <col min="22" max="22" width="11.42578125" bestFit="1" customWidth="1"/>
  </cols>
  <sheetData>
    <row r="1" spans="1:22" ht="45.75" thickBot="1" x14ac:dyDescent="0.3">
      <c r="A1" s="2" t="s">
        <v>15</v>
      </c>
      <c r="B1" s="2" t="s">
        <v>177</v>
      </c>
      <c r="C1" s="4" t="s">
        <v>0</v>
      </c>
      <c r="D1" s="4" t="s">
        <v>1</v>
      </c>
      <c r="E1" s="4" t="s">
        <v>181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178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180</v>
      </c>
      <c r="R1" s="4" t="s">
        <v>12</v>
      </c>
      <c r="S1" s="4" t="s">
        <v>13</v>
      </c>
      <c r="T1" s="4" t="s">
        <v>179</v>
      </c>
      <c r="U1" s="4" t="s">
        <v>14</v>
      </c>
      <c r="V1" s="4" t="s">
        <v>110</v>
      </c>
    </row>
    <row r="2" spans="1:22" x14ac:dyDescent="0.25">
      <c r="A2" t="s">
        <v>17</v>
      </c>
      <c r="B2" s="8" t="s">
        <v>114</v>
      </c>
      <c r="C2" s="5">
        <v>0.95123572872117501</v>
      </c>
      <c r="D2" s="5">
        <v>0</v>
      </c>
      <c r="E2" s="5">
        <f>SUM(G2:I2)</f>
        <v>21.20191432076064</v>
      </c>
      <c r="F2" s="5">
        <v>6.9376207330622623</v>
      </c>
      <c r="G2" s="5">
        <v>8.6811506112265562</v>
      </c>
      <c r="H2" s="5">
        <v>7.519333747327507</v>
      </c>
      <c r="I2" s="5">
        <v>5.0014299622065748</v>
      </c>
      <c r="J2" s="5">
        <v>0.24583646937576847</v>
      </c>
      <c r="K2" s="5">
        <f>SUM(L2:N2)</f>
        <v>58.521002158474921</v>
      </c>
      <c r="L2" s="5">
        <v>1.9596699457053224</v>
      </c>
      <c r="M2" s="5">
        <v>46.816596924008664</v>
      </c>
      <c r="N2" s="5">
        <v>9.7447352887609355</v>
      </c>
      <c r="O2" s="5">
        <v>4.2819870842595167</v>
      </c>
      <c r="P2" s="5">
        <v>1.1662054947120657</v>
      </c>
      <c r="Q2" s="5">
        <f>SUM(R2:S2)</f>
        <v>4.4267387572421546</v>
      </c>
      <c r="R2" s="5">
        <v>4.350742300330098</v>
      </c>
      <c r="S2" s="5">
        <v>7.5996456912056962E-2</v>
      </c>
      <c r="T2" s="5">
        <f>SUM(U2:V2)</f>
        <v>2.2674592533914972</v>
      </c>
      <c r="U2" s="5">
        <v>1.7244393341276754</v>
      </c>
      <c r="V2" s="5">
        <v>0.54301991926382176</v>
      </c>
    </row>
    <row r="3" spans="1:22" x14ac:dyDescent="0.25">
      <c r="A3" t="s">
        <v>18</v>
      </c>
      <c r="B3" s="8" t="s">
        <v>114</v>
      </c>
      <c r="C3" s="5">
        <v>0.89206225512801707</v>
      </c>
      <c r="D3" s="5">
        <v>0</v>
      </c>
      <c r="E3" s="5">
        <f t="shared" ref="E3:E66" si="0">SUM(G3:I3)</f>
        <v>20.05881025089344</v>
      </c>
      <c r="F3" s="5">
        <v>6.9955441587206275</v>
      </c>
      <c r="G3" s="5">
        <v>8.6609902680731263</v>
      </c>
      <c r="H3" s="5">
        <v>7.1718110115378053</v>
      </c>
      <c r="I3" s="5">
        <v>4.2260089712825089</v>
      </c>
      <c r="J3" s="5">
        <v>0.24219929776358637</v>
      </c>
      <c r="K3" s="5">
        <f t="shared" ref="K3:K66" si="1">SUM(L3:N3)</f>
        <v>59.463987847570145</v>
      </c>
      <c r="L3" s="5">
        <v>1.8844759264626014</v>
      </c>
      <c r="M3" s="5">
        <v>47.676533190094787</v>
      </c>
      <c r="N3" s="5">
        <v>9.9029787310127606</v>
      </c>
      <c r="O3" s="5">
        <v>4.359885359495725</v>
      </c>
      <c r="P3" s="5">
        <v>1.1853685102172939</v>
      </c>
      <c r="Q3" s="5">
        <f t="shared" ref="Q3:Q66" si="2">SUM(R3:S3)</f>
        <v>4.5057562376935421</v>
      </c>
      <c r="R3" s="5">
        <v>4.4283508023270803</v>
      </c>
      <c r="S3" s="5">
        <v>7.7405435366461467E-2</v>
      </c>
      <c r="T3" s="5">
        <f t="shared" ref="T3:T66" si="3">SUM(U3:V3)</f>
        <v>2.2963860825176208</v>
      </c>
      <c r="U3" s="5">
        <v>1.7482155402400237</v>
      </c>
      <c r="V3" s="5">
        <v>0.54817054227759721</v>
      </c>
    </row>
    <row r="4" spans="1:22" x14ac:dyDescent="0.25">
      <c r="A4" t="s">
        <v>19</v>
      </c>
      <c r="B4" s="8" t="s">
        <v>114</v>
      </c>
      <c r="C4" s="5">
        <v>0.87249375904778437</v>
      </c>
      <c r="D4" s="5">
        <v>0</v>
      </c>
      <c r="E4" s="5">
        <f t="shared" si="0"/>
        <v>19.509934063391398</v>
      </c>
      <c r="F4" s="5">
        <v>6.9923455838548838</v>
      </c>
      <c r="G4" s="5">
        <v>8.5707825023457573</v>
      </c>
      <c r="H4" s="5">
        <v>6.9880634980734362</v>
      </c>
      <c r="I4" s="5">
        <v>3.9510880629722029</v>
      </c>
      <c r="J4" s="5">
        <v>0.24250127899141105</v>
      </c>
      <c r="K4" s="5">
        <f t="shared" si="1"/>
        <v>59.937030801719139</v>
      </c>
      <c r="L4" s="5">
        <v>1.8859958516354938</v>
      </c>
      <c r="M4" s="5">
        <v>48.074826819679863</v>
      </c>
      <c r="N4" s="5">
        <v>9.9762081304037853</v>
      </c>
      <c r="O4" s="5">
        <v>4.3951478709394376</v>
      </c>
      <c r="P4" s="5">
        <v>1.1947770573356262</v>
      </c>
      <c r="Q4" s="5">
        <f t="shared" si="2"/>
        <v>4.5435183870509723</v>
      </c>
      <c r="R4" s="5">
        <v>4.4654642269295115</v>
      </c>
      <c r="S4" s="5">
        <v>7.8054160121460978E-2</v>
      </c>
      <c r="T4" s="5">
        <f t="shared" si="3"/>
        <v>2.3122511976693434</v>
      </c>
      <c r="U4" s="5">
        <v>1.762416358469177</v>
      </c>
      <c r="V4" s="5">
        <v>0.54983483920016651</v>
      </c>
    </row>
    <row r="5" spans="1:22" x14ac:dyDescent="0.25">
      <c r="A5" t="s">
        <v>20</v>
      </c>
      <c r="B5" s="8" t="s">
        <v>114</v>
      </c>
      <c r="C5" s="5">
        <v>0.87028848703519457</v>
      </c>
      <c r="D5" s="5">
        <v>0</v>
      </c>
      <c r="E5" s="5">
        <f t="shared" si="0"/>
        <v>19.145440164266951</v>
      </c>
      <c r="F5" s="5">
        <v>6.9777192549061384</v>
      </c>
      <c r="G5" s="5">
        <v>8.4733765002466566</v>
      </c>
      <c r="H5" s="5">
        <v>6.8535973812777682</v>
      </c>
      <c r="I5" s="5">
        <v>3.8184662827425266</v>
      </c>
      <c r="J5" s="5">
        <v>0.24348435709326668</v>
      </c>
      <c r="K5" s="5">
        <f t="shared" si="1"/>
        <v>60.251688639184593</v>
      </c>
      <c r="L5" s="5">
        <v>1.8811678485818903</v>
      </c>
      <c r="M5" s="5">
        <v>48.343769996048955</v>
      </c>
      <c r="N5" s="5">
        <v>10.026750794553747</v>
      </c>
      <c r="O5" s="5">
        <v>4.4194337232255974</v>
      </c>
      <c r="P5" s="5">
        <v>1.2011038763344235</v>
      </c>
      <c r="Q5" s="5">
        <f t="shared" si="2"/>
        <v>4.5679569146762216</v>
      </c>
      <c r="R5" s="5">
        <v>4.4894647499167109</v>
      </c>
      <c r="S5" s="5">
        <v>7.8492164759511041E-2</v>
      </c>
      <c r="T5" s="5">
        <f t="shared" si="3"/>
        <v>2.3228845832776184</v>
      </c>
      <c r="U5" s="5">
        <v>1.7722306959512699</v>
      </c>
      <c r="V5" s="5">
        <v>0.55065388732634835</v>
      </c>
    </row>
    <row r="6" spans="1:22" x14ac:dyDescent="0.25">
      <c r="A6" t="s">
        <v>21</v>
      </c>
      <c r="B6" s="8" t="s">
        <v>115</v>
      </c>
      <c r="C6" s="5">
        <v>0.91050967517607773</v>
      </c>
      <c r="D6" s="5">
        <v>0</v>
      </c>
      <c r="E6" s="5">
        <f t="shared" si="0"/>
        <v>14.59306039606362</v>
      </c>
      <c r="F6" s="5">
        <v>6.9110595389230758</v>
      </c>
      <c r="G6" s="5">
        <v>7.6516774887399217</v>
      </c>
      <c r="H6" s="5">
        <v>5.0316575966102519</v>
      </c>
      <c r="I6" s="5">
        <v>1.9097253107134484</v>
      </c>
      <c r="J6" s="5">
        <v>0.2326408823695893</v>
      </c>
      <c r="K6" s="5">
        <f t="shared" si="1"/>
        <v>64.221174605998357</v>
      </c>
      <c r="L6" s="5">
        <v>1.9051970210322882</v>
      </c>
      <c r="M6" s="5">
        <v>51.711127463268291</v>
      </c>
      <c r="N6" s="5">
        <v>10.604850121697785</v>
      </c>
      <c r="O6" s="5">
        <v>4.7166180145066994</v>
      </c>
      <c r="P6" s="5">
        <v>1.2750369945094489</v>
      </c>
      <c r="Q6" s="5">
        <f t="shared" si="2"/>
        <v>4.8202026409632328</v>
      </c>
      <c r="R6" s="5">
        <v>4.7389360136495595</v>
      </c>
      <c r="S6" s="5">
        <v>8.1266627313673012E-2</v>
      </c>
      <c r="T6" s="5">
        <f t="shared" si="3"/>
        <v>2.3196972514898881</v>
      </c>
      <c r="U6" s="5">
        <v>1.8101029377279305</v>
      </c>
      <c r="V6" s="5">
        <v>0.50959431376195752</v>
      </c>
    </row>
    <row r="7" spans="1:22" x14ac:dyDescent="0.25">
      <c r="A7" t="s">
        <v>22</v>
      </c>
      <c r="B7" s="8" t="s">
        <v>116</v>
      </c>
      <c r="C7" s="5">
        <v>0.19353620543160147</v>
      </c>
      <c r="D7" s="5">
        <v>0</v>
      </c>
      <c r="E7" s="5">
        <f t="shared" si="0"/>
        <v>83.741385278660672</v>
      </c>
      <c r="F7" s="5">
        <v>7.5085753847122128</v>
      </c>
      <c r="G7" s="5">
        <v>17.843094061742772</v>
      </c>
      <c r="H7" s="5">
        <v>32.152185543002801</v>
      </c>
      <c r="I7" s="5">
        <v>33.746105673915096</v>
      </c>
      <c r="J7" s="5">
        <v>8.0246719325298171E-2</v>
      </c>
      <c r="K7" s="5">
        <f t="shared" si="1"/>
        <v>4.2782515655977598</v>
      </c>
      <c r="L7" s="5">
        <v>1.3720615539541177</v>
      </c>
      <c r="M7" s="5">
        <v>0.61994524341504853</v>
      </c>
      <c r="N7" s="5">
        <v>2.2862447682285931</v>
      </c>
      <c r="O7" s="5">
        <v>0.18881581017717217</v>
      </c>
      <c r="P7" s="5">
        <v>7.3952858986059092E-2</v>
      </c>
      <c r="Q7" s="5">
        <f t="shared" si="2"/>
        <v>1.2210089058123801</v>
      </c>
      <c r="R7" s="5">
        <v>1.1675110929288479</v>
      </c>
      <c r="S7" s="5">
        <v>5.3497812883532121E-2</v>
      </c>
      <c r="T7" s="5">
        <f t="shared" si="3"/>
        <v>2.71422727129685</v>
      </c>
      <c r="U7" s="5">
        <v>1.2493312773389558</v>
      </c>
      <c r="V7" s="5">
        <v>1.464895993957894</v>
      </c>
    </row>
    <row r="8" spans="1:22" x14ac:dyDescent="0.25">
      <c r="A8" t="s">
        <v>23</v>
      </c>
      <c r="B8" s="8" t="s">
        <v>117</v>
      </c>
      <c r="C8" s="5">
        <v>0.41462807861348372</v>
      </c>
      <c r="D8" s="5">
        <v>0</v>
      </c>
      <c r="E8" s="5">
        <f t="shared" si="0"/>
        <v>15.457334770710673</v>
      </c>
      <c r="F8" s="5">
        <v>11.277883738286757</v>
      </c>
      <c r="G8" s="5">
        <v>11.850070486773365</v>
      </c>
      <c r="H8" s="5">
        <v>2.9272742350111951</v>
      </c>
      <c r="I8" s="5">
        <v>0.67999004892611326</v>
      </c>
      <c r="J8" s="5">
        <v>0.63852724106476488</v>
      </c>
      <c r="K8" s="5">
        <f t="shared" si="1"/>
        <v>60.220582137822376</v>
      </c>
      <c r="L8" s="5">
        <v>5.2077286673853553</v>
      </c>
      <c r="M8" s="5">
        <v>25.167924371838463</v>
      </c>
      <c r="N8" s="5">
        <v>29.844929098598556</v>
      </c>
      <c r="O8" s="5">
        <v>2.4545982253918233</v>
      </c>
      <c r="P8" s="5">
        <v>2.6204494568372172</v>
      </c>
      <c r="Q8" s="5">
        <f t="shared" si="2"/>
        <v>3.3584874367692183</v>
      </c>
      <c r="R8" s="5">
        <v>3.3584874367692183</v>
      </c>
      <c r="S8" s="5">
        <v>0</v>
      </c>
      <c r="T8" s="5">
        <f t="shared" si="3"/>
        <v>3.55750891450369</v>
      </c>
      <c r="U8" s="5">
        <v>3.225806451612903</v>
      </c>
      <c r="V8" s="5">
        <v>0.33170246289078698</v>
      </c>
    </row>
    <row r="9" spans="1:22" x14ac:dyDescent="0.25">
      <c r="A9" t="s">
        <v>24</v>
      </c>
      <c r="B9" s="8" t="s">
        <v>118</v>
      </c>
      <c r="C9" s="5">
        <v>0.19140148420098274</v>
      </c>
      <c r="D9" s="5">
        <v>0</v>
      </c>
      <c r="E9" s="5">
        <f t="shared" si="0"/>
        <v>15.962436059591901</v>
      </c>
      <c r="F9" s="5">
        <v>10.015558366259611</v>
      </c>
      <c r="G9" s="5">
        <v>11.74600687254452</v>
      </c>
      <c r="H9" s="5">
        <v>3.4183633494140429</v>
      </c>
      <c r="I9" s="5">
        <v>0.79806583763333738</v>
      </c>
      <c r="J9" s="5">
        <v>9.5141088637915414E-2</v>
      </c>
      <c r="K9" s="5">
        <f t="shared" si="1"/>
        <v>28.61172362073404</v>
      </c>
      <c r="L9" s="5">
        <v>1.9106569212343716</v>
      </c>
      <c r="M9" s="5">
        <v>11.224409845423713</v>
      </c>
      <c r="N9" s="5">
        <v>15.476656854075957</v>
      </c>
      <c r="O9" s="5">
        <v>2.1457113755162802</v>
      </c>
      <c r="P9" s="5">
        <v>1.0991594004992109</v>
      </c>
      <c r="Q9" s="5">
        <f t="shared" si="2"/>
        <v>36.102125563850862</v>
      </c>
      <c r="R9" s="5">
        <v>36.051756752219028</v>
      </c>
      <c r="S9" s="5">
        <v>5.0368811631837568E-2</v>
      </c>
      <c r="T9" s="5">
        <f t="shared" si="3"/>
        <v>5.7767430407091931</v>
      </c>
      <c r="U9" s="5">
        <v>4.2108326524216206</v>
      </c>
      <c r="V9" s="5">
        <v>1.5659103882875725</v>
      </c>
    </row>
    <row r="10" spans="1:22" x14ac:dyDescent="0.25">
      <c r="A10" t="s">
        <v>25</v>
      </c>
      <c r="B10" s="8" t="s">
        <v>119</v>
      </c>
      <c r="C10" s="5">
        <v>9.463423866754991E-3</v>
      </c>
      <c r="D10" s="5">
        <v>0</v>
      </c>
      <c r="E10" s="5">
        <f t="shared" si="0"/>
        <v>79.805053468344852</v>
      </c>
      <c r="F10" s="5">
        <v>10.021765874893536</v>
      </c>
      <c r="G10" s="5">
        <v>41.080723005583422</v>
      </c>
      <c r="H10" s="5">
        <v>33.850667171382604</v>
      </c>
      <c r="I10" s="5">
        <v>4.8736632913788203</v>
      </c>
      <c r="J10" s="5">
        <v>3.7853695467019964E-2</v>
      </c>
      <c r="K10" s="5">
        <f t="shared" si="1"/>
        <v>9.6905460395571126</v>
      </c>
      <c r="L10" s="5">
        <v>0.93687896280874416</v>
      </c>
      <c r="M10" s="5">
        <v>4.7979559004447809</v>
      </c>
      <c r="N10" s="5">
        <v>3.9557111763035868</v>
      </c>
      <c r="O10" s="5">
        <v>5.678054320052995E-2</v>
      </c>
      <c r="P10" s="5">
        <v>0</v>
      </c>
      <c r="Q10" s="5">
        <f t="shared" si="2"/>
        <v>9.4634238667549928E-2</v>
      </c>
      <c r="R10" s="5">
        <v>9.4634238667549928E-2</v>
      </c>
      <c r="S10" s="5">
        <v>0</v>
      </c>
      <c r="T10" s="5">
        <f t="shared" si="3"/>
        <v>0.28390271600264977</v>
      </c>
      <c r="U10" s="5">
        <v>0.28390271600264977</v>
      </c>
      <c r="V10" s="5">
        <v>0</v>
      </c>
    </row>
    <row r="11" spans="1:22" x14ac:dyDescent="0.25">
      <c r="A11" t="s">
        <v>26</v>
      </c>
      <c r="B11" s="8" t="s">
        <v>120</v>
      </c>
      <c r="C11" s="5">
        <v>5.5920181299114108E-2</v>
      </c>
      <c r="D11" s="5">
        <v>0</v>
      </c>
      <c r="E11" s="5">
        <f t="shared" si="0"/>
        <v>92.085822762456971</v>
      </c>
      <c r="F11" s="5">
        <v>5.5478706183594788</v>
      </c>
      <c r="G11" s="5">
        <v>35.691791506018774</v>
      </c>
      <c r="H11" s="5">
        <v>42.381611089854907</v>
      </c>
      <c r="I11" s="5">
        <v>14.012420166583277</v>
      </c>
      <c r="J11" s="5">
        <v>0.16776054389734232</v>
      </c>
      <c r="K11" s="5">
        <f t="shared" si="1"/>
        <v>1.7806162992612651</v>
      </c>
      <c r="L11" s="5">
        <v>4.7090678988727666E-2</v>
      </c>
      <c r="M11" s="5">
        <v>1.4892427230185126</v>
      </c>
      <c r="N11" s="5">
        <v>0.24428289725402477</v>
      </c>
      <c r="O11" s="5">
        <v>4.7090678988727666E-2</v>
      </c>
      <c r="P11" s="5">
        <v>8.8295023103864383E-3</v>
      </c>
      <c r="Q11" s="5">
        <f t="shared" si="2"/>
        <v>8.5351855667068904E-2</v>
      </c>
      <c r="R11" s="5">
        <v>8.5351855667068904E-2</v>
      </c>
      <c r="S11" s="5">
        <v>0</v>
      </c>
      <c r="T11" s="5">
        <f t="shared" si="3"/>
        <v>0.22073755775966095</v>
      </c>
      <c r="U11" s="5">
        <v>0.22073755775966095</v>
      </c>
      <c r="V11" s="5">
        <v>0</v>
      </c>
    </row>
    <row r="12" spans="1:22" x14ac:dyDescent="0.25">
      <c r="A12" t="s">
        <v>27</v>
      </c>
      <c r="B12" s="8" t="s">
        <v>121</v>
      </c>
      <c r="C12" s="5">
        <v>1.8793910153630879</v>
      </c>
      <c r="D12" s="5">
        <v>0</v>
      </c>
      <c r="E12" s="5">
        <f>SUM(G12:I12)</f>
        <v>8.634995481444772</v>
      </c>
      <c r="F12" s="5">
        <v>5.9497347170801387</v>
      </c>
      <c r="G12" s="5">
        <v>5.333352767979477</v>
      </c>
      <c r="H12" s="5">
        <v>2.8240970177535494</v>
      </c>
      <c r="I12" s="5">
        <v>0.47754569571174532</v>
      </c>
      <c r="J12" s="5">
        <v>0.21280937527329971</v>
      </c>
      <c r="K12" s="5">
        <f t="shared" si="1"/>
        <v>77.093111389674377</v>
      </c>
      <c r="L12" s="5">
        <v>1.4098621111856107</v>
      </c>
      <c r="M12" s="5">
        <v>62.400701104859635</v>
      </c>
      <c r="N12" s="5">
        <v>13.282548173629127</v>
      </c>
      <c r="O12" s="5">
        <v>3.5414176602629506</v>
      </c>
      <c r="P12" s="5">
        <v>0.55498061394047171</v>
      </c>
      <c r="Q12" s="5">
        <f t="shared" si="2"/>
        <v>0.57484039296854506</v>
      </c>
      <c r="R12" s="5">
        <v>0.57484039296854506</v>
      </c>
      <c r="S12" s="5">
        <v>0</v>
      </c>
      <c r="T12" s="5">
        <f t="shared" si="3"/>
        <v>1.5587193539923623</v>
      </c>
      <c r="U12" s="5">
        <v>1.4209762994490278</v>
      </c>
      <c r="V12" s="5">
        <v>0.13774305454333441</v>
      </c>
    </row>
    <row r="13" spans="1:22" x14ac:dyDescent="0.25">
      <c r="A13" t="s">
        <v>28</v>
      </c>
      <c r="B13" s="8" t="s">
        <v>122</v>
      </c>
      <c r="C13" s="5">
        <v>0.60849196305969144</v>
      </c>
      <c r="D13" s="5">
        <v>0</v>
      </c>
      <c r="E13" s="5">
        <f t="shared" si="0"/>
        <v>36.2698904175978</v>
      </c>
      <c r="F13" s="5">
        <v>15.608088096712528</v>
      </c>
      <c r="G13" s="5">
        <v>21.06836111036321</v>
      </c>
      <c r="H13" s="5">
        <v>13.572601707008427</v>
      </c>
      <c r="I13" s="5">
        <v>1.628927600226165</v>
      </c>
      <c r="J13" s="5">
        <v>8.8850596375972646E-2</v>
      </c>
      <c r="K13" s="5">
        <f t="shared" si="1"/>
        <v>43.243316011954448</v>
      </c>
      <c r="L13" s="5">
        <v>9.1731509652405698</v>
      </c>
      <c r="M13" s="5">
        <v>5.1560270321208375</v>
      </c>
      <c r="N13" s="5">
        <v>28.914138014593039</v>
      </c>
      <c r="O13" s="5">
        <v>1.0069734255943568</v>
      </c>
      <c r="P13" s="5">
        <v>0.30155353921542227</v>
      </c>
      <c r="Q13" s="5">
        <f t="shared" si="2"/>
        <v>0.93158504079050108</v>
      </c>
      <c r="R13" s="5">
        <v>0.93158504079050108</v>
      </c>
      <c r="S13" s="5">
        <v>0</v>
      </c>
      <c r="T13" s="5">
        <f t="shared" si="3"/>
        <v>1.9412509086992813</v>
      </c>
      <c r="U13" s="5">
        <v>1.4269944266444092</v>
      </c>
      <c r="V13" s="5">
        <v>0.51425648205487196</v>
      </c>
    </row>
    <row r="14" spans="1:22" x14ac:dyDescent="0.25">
      <c r="A14" t="s">
        <v>29</v>
      </c>
      <c r="B14" s="8" t="s">
        <v>123</v>
      </c>
      <c r="C14" s="5">
        <v>1.7502917152858809E-2</v>
      </c>
      <c r="D14" s="5">
        <v>0</v>
      </c>
      <c r="E14" s="5">
        <f t="shared" si="0"/>
        <v>44.189031505250881</v>
      </c>
      <c r="F14" s="5">
        <v>12.724620770128356</v>
      </c>
      <c r="G14" s="5">
        <v>25.962660443407238</v>
      </c>
      <c r="H14" s="5">
        <v>16.03850641773629</v>
      </c>
      <c r="I14" s="5">
        <v>2.1878646441073513</v>
      </c>
      <c r="J14" s="5">
        <v>0.11668611435239205</v>
      </c>
      <c r="K14" s="5">
        <f t="shared" si="1"/>
        <v>41.791131855309217</v>
      </c>
      <c r="L14" s="5">
        <v>11.481913652275379</v>
      </c>
      <c r="M14" s="5">
        <v>1.2777129521586932</v>
      </c>
      <c r="N14" s="5">
        <v>29.031505250875146</v>
      </c>
      <c r="O14" s="5">
        <v>0.44340723453908987</v>
      </c>
      <c r="P14" s="5">
        <v>0.5250875145857643</v>
      </c>
      <c r="Q14" s="5">
        <f t="shared" si="2"/>
        <v>0.12252042007001165</v>
      </c>
      <c r="R14" s="5">
        <v>0.12252042007001165</v>
      </c>
      <c r="S14" s="5">
        <v>0</v>
      </c>
      <c r="T14" s="5">
        <f t="shared" si="3"/>
        <v>7.0011668611435235E-2</v>
      </c>
      <c r="U14" s="5">
        <v>7.0011668611435235E-2</v>
      </c>
      <c r="V14" s="5">
        <v>0</v>
      </c>
    </row>
    <row r="15" spans="1:22" x14ac:dyDescent="0.25">
      <c r="A15" t="s">
        <v>30</v>
      </c>
      <c r="B15" s="8" t="s">
        <v>124</v>
      </c>
      <c r="C15" s="5">
        <v>0.11561546787365935</v>
      </c>
      <c r="D15" s="5">
        <v>0</v>
      </c>
      <c r="E15" s="5">
        <f t="shared" si="0"/>
        <v>77.10075765030011</v>
      </c>
      <c r="F15" s="5">
        <v>10.247958280035423</v>
      </c>
      <c r="G15" s="5">
        <v>29.922267047131751</v>
      </c>
      <c r="H15" s="5">
        <v>30.261733740037389</v>
      </c>
      <c r="I15" s="5">
        <v>16.916756863130967</v>
      </c>
      <c r="J15" s="5">
        <v>0.177113057168159</v>
      </c>
      <c r="K15" s="5">
        <f t="shared" si="1"/>
        <v>9.6674210370953464</v>
      </c>
      <c r="L15" s="5">
        <v>1.80310931811473</v>
      </c>
      <c r="M15" s="5">
        <v>5.5249434222178495</v>
      </c>
      <c r="N15" s="5">
        <v>2.3393682967627667</v>
      </c>
      <c r="O15" s="5">
        <v>0.15005411787857914</v>
      </c>
      <c r="P15" s="5">
        <v>1.2299517858899931E-2</v>
      </c>
      <c r="Q15" s="5">
        <f t="shared" si="2"/>
        <v>0.28042900718291841</v>
      </c>
      <c r="R15" s="5">
        <v>0.28042900718291841</v>
      </c>
      <c r="S15" s="5">
        <v>0</v>
      </c>
      <c r="T15" s="5">
        <f t="shared" si="3"/>
        <v>2.2483518646069074</v>
      </c>
      <c r="U15" s="5">
        <v>1.6112368395158911</v>
      </c>
      <c r="V15" s="5">
        <v>0.63711502509101636</v>
      </c>
    </row>
    <row r="16" spans="1:22" x14ac:dyDescent="0.25">
      <c r="A16" t="s">
        <v>31</v>
      </c>
      <c r="B16" s="8" t="s">
        <v>125</v>
      </c>
      <c r="C16" s="5">
        <v>5.9485182781743459E-2</v>
      </c>
      <c r="D16" s="5">
        <v>0</v>
      </c>
      <c r="E16" s="5">
        <f t="shared" si="0"/>
        <v>84.696084793424177</v>
      </c>
      <c r="F16" s="5">
        <v>6.7001946787800124</v>
      </c>
      <c r="G16" s="5">
        <v>32.500540774388924</v>
      </c>
      <c r="H16" s="5">
        <v>40.130867402119833</v>
      </c>
      <c r="I16" s="5">
        <v>12.064676616915424</v>
      </c>
      <c r="J16" s="5">
        <v>0.15141682889898334</v>
      </c>
      <c r="K16" s="5">
        <f t="shared" si="1"/>
        <v>7.4032013843824354</v>
      </c>
      <c r="L16" s="5">
        <v>3.223015357992645</v>
      </c>
      <c r="M16" s="5">
        <v>2.0224962145792778</v>
      </c>
      <c r="N16" s="5">
        <v>2.1576898118105126</v>
      </c>
      <c r="O16" s="5">
        <v>0.1027471338957387</v>
      </c>
      <c r="P16" s="5">
        <v>3.7854207224745834E-2</v>
      </c>
      <c r="Q16" s="5">
        <f t="shared" si="2"/>
        <v>5.4077438892494049E-2</v>
      </c>
      <c r="R16" s="5">
        <v>5.4077438892494049E-2</v>
      </c>
      <c r="S16" s="5">
        <v>0</v>
      </c>
      <c r="T16" s="5">
        <f t="shared" si="3"/>
        <v>0.79493835171966254</v>
      </c>
      <c r="U16" s="5">
        <v>0.68678347393467443</v>
      </c>
      <c r="V16" s="5">
        <v>0.1081548777849881</v>
      </c>
    </row>
    <row r="17" spans="1:22" x14ac:dyDescent="0.25">
      <c r="A17" t="s">
        <v>32</v>
      </c>
      <c r="B17" s="8" t="s">
        <v>126</v>
      </c>
      <c r="C17" s="5">
        <v>3.4841132882827872</v>
      </c>
      <c r="D17" s="5">
        <v>0</v>
      </c>
      <c r="E17" s="5">
        <f t="shared" si="0"/>
        <v>43.022649322733095</v>
      </c>
      <c r="F17" s="5">
        <v>14.909211605856093</v>
      </c>
      <c r="G17" s="5">
        <v>21.249240256969159</v>
      </c>
      <c r="H17" s="5">
        <v>15.979820650354403</v>
      </c>
      <c r="I17" s="5">
        <v>5.7935884154095287</v>
      </c>
      <c r="J17" s="5">
        <v>0.37071149306209128</v>
      </c>
      <c r="K17" s="5">
        <f t="shared" si="1"/>
        <v>31.757474219027273</v>
      </c>
      <c r="L17" s="5">
        <v>3.9579917782513054</v>
      </c>
      <c r="M17" s="5">
        <v>11.160140180671563</v>
      </c>
      <c r="N17" s="5">
        <v>16.639342260104403</v>
      </c>
      <c r="O17" s="5">
        <v>0.9043636191212413</v>
      </c>
      <c r="P17" s="5">
        <v>0.47272899696677534</v>
      </c>
      <c r="Q17" s="5">
        <f t="shared" si="2"/>
        <v>1.753264200908387</v>
      </c>
      <c r="R17" s="5">
        <v>1.7183483509804458</v>
      </c>
      <c r="S17" s="5">
        <v>3.4915849927941153E-2</v>
      </c>
      <c r="T17" s="5">
        <f t="shared" si="3"/>
        <v>3.3254832540422643</v>
      </c>
      <c r="U17" s="5">
        <v>2.4883649755229835</v>
      </c>
      <c r="V17" s="5">
        <v>0.83711827851928067</v>
      </c>
    </row>
    <row r="18" spans="1:22" x14ac:dyDescent="0.25">
      <c r="A18" t="s">
        <v>33</v>
      </c>
      <c r="B18" s="8" t="s">
        <v>127</v>
      </c>
      <c r="C18" s="5">
        <v>9.4809196492059725E-2</v>
      </c>
      <c r="D18" s="5">
        <v>0</v>
      </c>
      <c r="E18" s="5">
        <f t="shared" si="0"/>
        <v>79.947854941929364</v>
      </c>
      <c r="F18" s="5">
        <v>11.116378288694003</v>
      </c>
      <c r="G18" s="5">
        <v>40.910168286323774</v>
      </c>
      <c r="H18" s="5">
        <v>28.608675041479025</v>
      </c>
      <c r="I18" s="5">
        <v>10.429011614126571</v>
      </c>
      <c r="J18" s="5">
        <v>7.1106897369044797E-2</v>
      </c>
      <c r="K18" s="5">
        <f t="shared" si="1"/>
        <v>6.802559848305286</v>
      </c>
      <c r="L18" s="5">
        <v>4.0056885517895235</v>
      </c>
      <c r="M18" s="5">
        <v>1.0429011614126571</v>
      </c>
      <c r="N18" s="5">
        <v>1.753970135103105</v>
      </c>
      <c r="O18" s="5">
        <v>0.22517184166864188</v>
      </c>
      <c r="P18" s="5">
        <v>1.1851149561507466E-2</v>
      </c>
      <c r="Q18" s="5">
        <f t="shared" si="2"/>
        <v>0.40293908509125381</v>
      </c>
      <c r="R18" s="5">
        <v>0.40293908509125381</v>
      </c>
      <c r="S18" s="5">
        <v>0</v>
      </c>
      <c r="T18" s="5">
        <f t="shared" si="3"/>
        <v>1.3273287508888363</v>
      </c>
      <c r="U18" s="5">
        <v>0.97179426404361224</v>
      </c>
      <c r="V18" s="5">
        <v>0.35553448684522398</v>
      </c>
    </row>
    <row r="19" spans="1:22" x14ac:dyDescent="0.25">
      <c r="A19" t="s">
        <v>34</v>
      </c>
      <c r="B19" s="8" t="s">
        <v>128</v>
      </c>
      <c r="C19" s="5">
        <v>0.45270633505927627</v>
      </c>
      <c r="D19" s="5">
        <v>0</v>
      </c>
      <c r="E19" s="5">
        <f t="shared" si="0"/>
        <v>77.344877344877347</v>
      </c>
      <c r="F19" s="5">
        <v>12.139603316073904</v>
      </c>
      <c r="G19" s="5">
        <v>27.735336558865971</v>
      </c>
      <c r="H19" s="5">
        <v>33.89921625215743</v>
      </c>
      <c r="I19" s="5">
        <v>15.710324533853944</v>
      </c>
      <c r="J19" s="5">
        <v>0.13156777862660216</v>
      </c>
      <c r="K19" s="5">
        <f t="shared" si="1"/>
        <v>5.6885380414792177</v>
      </c>
      <c r="L19" s="5">
        <v>1.7033075856605269</v>
      </c>
      <c r="M19" s="5">
        <v>1.7330164388987916</v>
      </c>
      <c r="N19" s="5">
        <v>2.2522140169198992</v>
      </c>
      <c r="O19" s="5">
        <v>0.1216648275471805</v>
      </c>
      <c r="P19" s="5">
        <v>0.1513736807854455</v>
      </c>
      <c r="Q19" s="5">
        <f t="shared" si="2"/>
        <v>0.27162380103556577</v>
      </c>
      <c r="R19" s="5">
        <v>0.27162380103556577</v>
      </c>
      <c r="S19" s="5">
        <v>0</v>
      </c>
      <c r="T19" s="5">
        <f t="shared" si="3"/>
        <v>3.6980448745154626</v>
      </c>
      <c r="U19" s="5">
        <v>3.2821209291797526</v>
      </c>
      <c r="V19" s="5">
        <v>0.41592394533571003</v>
      </c>
    </row>
    <row r="20" spans="1:22" x14ac:dyDescent="0.25">
      <c r="A20" t="s">
        <v>35</v>
      </c>
      <c r="B20" s="8" t="s">
        <v>129</v>
      </c>
      <c r="C20" s="5">
        <v>0.59582436556864748</v>
      </c>
      <c r="D20" s="5">
        <v>0</v>
      </c>
      <c r="E20" s="5">
        <f t="shared" si="0"/>
        <v>73.496759445032154</v>
      </c>
      <c r="F20" s="5">
        <v>13.962961611887303</v>
      </c>
      <c r="G20" s="5">
        <v>28.429334014275465</v>
      </c>
      <c r="H20" s="5">
        <v>33.430610780773115</v>
      </c>
      <c r="I20" s="5">
        <v>11.636814649983585</v>
      </c>
      <c r="J20" s="5">
        <v>9.2413575067790216E-2</v>
      </c>
      <c r="K20" s="5">
        <f t="shared" si="1"/>
        <v>7.321343887936381</v>
      </c>
      <c r="L20" s="5">
        <v>1.6500687021972542</v>
      </c>
      <c r="M20" s="5">
        <v>2.6751298045939271</v>
      </c>
      <c r="N20" s="5">
        <v>2.9961453811451988</v>
      </c>
      <c r="O20" s="5">
        <v>0.11308503264874328</v>
      </c>
      <c r="P20" s="5">
        <v>7.4174053672831627E-2</v>
      </c>
      <c r="Q20" s="5">
        <f t="shared" si="2"/>
        <v>8.5117766509806778E-2</v>
      </c>
      <c r="R20" s="5">
        <v>8.5117766509806778E-2</v>
      </c>
      <c r="S20" s="5">
        <v>0</v>
      </c>
      <c r="T20" s="5">
        <f t="shared" si="3"/>
        <v>4.2583202616763334</v>
      </c>
      <c r="U20" s="5">
        <v>3.1043665414219532</v>
      </c>
      <c r="V20" s="5">
        <v>1.1539537202543806</v>
      </c>
    </row>
    <row r="21" spans="1:22" x14ac:dyDescent="0.25">
      <c r="A21" t="s">
        <v>36</v>
      </c>
      <c r="B21" s="8" t="s">
        <v>130</v>
      </c>
      <c r="C21" s="5">
        <v>3.003003003003003E-2</v>
      </c>
      <c r="D21" s="5">
        <v>0</v>
      </c>
      <c r="E21" s="5">
        <f t="shared" si="0"/>
        <v>43.028413028413027</v>
      </c>
      <c r="F21" s="5">
        <v>26.001386001386003</v>
      </c>
      <c r="G21" s="5">
        <v>23.811503811503812</v>
      </c>
      <c r="H21" s="5">
        <v>12.788172788172789</v>
      </c>
      <c r="I21" s="5">
        <v>6.4287364287364284</v>
      </c>
      <c r="J21" s="5">
        <v>9.9330099330099328E-2</v>
      </c>
      <c r="K21" s="5">
        <f t="shared" si="1"/>
        <v>26.595056595056597</v>
      </c>
      <c r="L21" s="5">
        <v>2.212982212982213</v>
      </c>
      <c r="M21" s="5">
        <v>12.554862554862556</v>
      </c>
      <c r="N21" s="5">
        <v>11.827211827211826</v>
      </c>
      <c r="O21" s="5">
        <v>0.6999306999306999</v>
      </c>
      <c r="P21" s="5">
        <v>0.2263802263802264</v>
      </c>
      <c r="Q21" s="5">
        <f t="shared" si="2"/>
        <v>0.27951027951027951</v>
      </c>
      <c r="R21" s="5">
        <v>0.27951027951027951</v>
      </c>
      <c r="S21" s="5">
        <v>0</v>
      </c>
      <c r="T21" s="5">
        <f t="shared" si="3"/>
        <v>3.0399630399630402</v>
      </c>
      <c r="U21" s="5">
        <v>2.9106029106029108</v>
      </c>
      <c r="V21" s="5">
        <v>0.12936012936012936</v>
      </c>
    </row>
    <row r="22" spans="1:22" x14ac:dyDescent="0.25">
      <c r="A22" t="s">
        <v>37</v>
      </c>
      <c r="B22" s="8" t="s">
        <v>131</v>
      </c>
      <c r="C22" s="5">
        <v>0.61271920557785764</v>
      </c>
      <c r="D22" s="5">
        <v>0</v>
      </c>
      <c r="E22" s="5">
        <f t="shared" si="0"/>
        <v>32.931653759006828</v>
      </c>
      <c r="F22" s="5">
        <v>23.103375419832869</v>
      </c>
      <c r="G22" s="5">
        <v>23.861806683812119</v>
      </c>
      <c r="H22" s="5">
        <v>6.9854360797627804</v>
      </c>
      <c r="I22" s="5">
        <v>2.0844109954319268</v>
      </c>
      <c r="J22" s="5">
        <v>0.3766656709676009</v>
      </c>
      <c r="K22" s="5">
        <f t="shared" si="1"/>
        <v>34.276576058051681</v>
      </c>
      <c r="L22" s="5">
        <v>3.5357030971098014</v>
      </c>
      <c r="M22" s="5">
        <v>14.303095652680737</v>
      </c>
      <c r="N22" s="5">
        <v>16.437777308261143</v>
      </c>
      <c r="O22" s="5">
        <v>0.83857289610001673</v>
      </c>
      <c r="P22" s="5">
        <v>0.4356790546201651</v>
      </c>
      <c r="Q22" s="5">
        <f t="shared" si="2"/>
        <v>1.6305179335115878</v>
      </c>
      <c r="R22" s="5">
        <v>1.6305179335115878</v>
      </c>
      <c r="S22" s="5">
        <v>0</v>
      </c>
      <c r="T22" s="5">
        <f t="shared" si="3"/>
        <v>5.7942400023313931</v>
      </c>
      <c r="U22" s="5">
        <v>4.4099754475181596</v>
      </c>
      <c r="V22" s="5">
        <v>1.3842645548132335</v>
      </c>
    </row>
    <row r="23" spans="1:22" x14ac:dyDescent="0.25">
      <c r="A23" t="s">
        <v>38</v>
      </c>
      <c r="B23" s="8" t="s">
        <v>126</v>
      </c>
      <c r="C23" s="5">
        <v>7.7175821505457307</v>
      </c>
      <c r="D23" s="5">
        <v>0</v>
      </c>
      <c r="E23" s="5">
        <f t="shared" si="0"/>
        <v>26.323084979310483</v>
      </c>
      <c r="F23" s="5">
        <v>10.521019792796832</v>
      </c>
      <c r="G23" s="5">
        <v>14.460412695044441</v>
      </c>
      <c r="H23" s="5">
        <v>9.609243711859591</v>
      </c>
      <c r="I23" s="5">
        <v>2.253428572406452</v>
      </c>
      <c r="J23" s="5">
        <v>0.57875876609041776</v>
      </c>
      <c r="K23" s="5">
        <f t="shared" si="1"/>
        <v>48.563713091721795</v>
      </c>
      <c r="L23" s="5">
        <v>5.452516796325515</v>
      </c>
      <c r="M23" s="5">
        <v>15.700756733076183</v>
      </c>
      <c r="N23" s="5">
        <v>27.4104395623201</v>
      </c>
      <c r="O23" s="5">
        <v>1.4942996882026989</v>
      </c>
      <c r="P23" s="5">
        <v>0.77008114944023653</v>
      </c>
      <c r="Q23" s="5">
        <f t="shared" si="2"/>
        <v>1.7684485774034233</v>
      </c>
      <c r="R23" s="5">
        <v>1.7684485774034233</v>
      </c>
      <c r="S23" s="5">
        <v>0</v>
      </c>
      <c r="T23" s="5">
        <f t="shared" si="3"/>
        <v>2.2630118044883751</v>
      </c>
      <c r="U23" s="5">
        <v>1.5969771747947306</v>
      </c>
      <c r="V23" s="5">
        <v>0.66603462969364458</v>
      </c>
    </row>
    <row r="24" spans="1:22" x14ac:dyDescent="0.25">
      <c r="A24" t="s">
        <v>39</v>
      </c>
      <c r="B24" s="8" t="s">
        <v>132</v>
      </c>
      <c r="C24" s="5">
        <v>0</v>
      </c>
      <c r="D24" s="5">
        <v>0</v>
      </c>
      <c r="E24" s="5">
        <f t="shared" si="0"/>
        <v>76.565008025682189</v>
      </c>
      <c r="F24" s="5">
        <v>22.632423756019264</v>
      </c>
      <c r="G24" s="5">
        <v>55.056179775280903</v>
      </c>
      <c r="H24" s="5">
        <v>20.81326912787587</v>
      </c>
      <c r="I24" s="5">
        <v>0.69555912252541463</v>
      </c>
      <c r="J24" s="5">
        <v>0.1070090957731407</v>
      </c>
      <c r="K24" s="5">
        <f t="shared" si="1"/>
        <v>0.69555912252541452</v>
      </c>
      <c r="L24" s="5">
        <v>0.26752273943285176</v>
      </c>
      <c r="M24" s="5">
        <v>0.42803638309256281</v>
      </c>
      <c r="N24" s="5">
        <v>0</v>
      </c>
      <c r="O24" s="5">
        <v>0</v>
      </c>
      <c r="P24" s="5">
        <v>0</v>
      </c>
      <c r="Q24" s="5">
        <f t="shared" si="2"/>
        <v>0</v>
      </c>
      <c r="R24" s="5">
        <v>0</v>
      </c>
      <c r="S24" s="5">
        <v>0</v>
      </c>
      <c r="T24" s="5">
        <f t="shared" si="3"/>
        <v>0</v>
      </c>
      <c r="U24" s="5">
        <v>0</v>
      </c>
      <c r="V24" s="5">
        <v>0</v>
      </c>
    </row>
    <row r="25" spans="1:22" x14ac:dyDescent="0.25">
      <c r="A25" t="s">
        <v>40</v>
      </c>
      <c r="B25" s="8" t="s">
        <v>133</v>
      </c>
      <c r="C25" s="5">
        <v>0.12356487777011967</v>
      </c>
      <c r="D25" s="5">
        <v>0</v>
      </c>
      <c r="E25" s="5">
        <f t="shared" si="0"/>
        <v>12.550838564660443</v>
      </c>
      <c r="F25" s="5">
        <v>8.6396065793640435</v>
      </c>
      <c r="G25" s="5">
        <v>7.5976876602773062</v>
      </c>
      <c r="H25" s="5">
        <v>3.5628907972107866</v>
      </c>
      <c r="I25" s="5">
        <v>1.3902601071723513</v>
      </c>
      <c r="J25" s="5">
        <v>0.94381213171146672</v>
      </c>
      <c r="K25" s="5">
        <f t="shared" si="1"/>
        <v>70.0296183149228</v>
      </c>
      <c r="L25" s="5">
        <v>6.8097287161050364</v>
      </c>
      <c r="M25" s="5">
        <v>24.547187501940403</v>
      </c>
      <c r="N25" s="5">
        <v>38.672702096877352</v>
      </c>
      <c r="O25" s="5">
        <v>2.3365559550199011</v>
      </c>
      <c r="P25" s="5">
        <v>1.2027395388980993</v>
      </c>
      <c r="Q25" s="5">
        <f t="shared" si="2"/>
        <v>2.7153226657725291</v>
      </c>
      <c r="R25" s="5">
        <v>2.7153226657725291</v>
      </c>
      <c r="S25" s="5">
        <v>0</v>
      </c>
      <c r="T25" s="5">
        <f t="shared" si="3"/>
        <v>1.4579413718806078</v>
      </c>
      <c r="U25" s="5">
        <v>1.3213369843960534</v>
      </c>
      <c r="V25" s="5">
        <v>0.13660438748455439</v>
      </c>
    </row>
    <row r="26" spans="1:22" x14ac:dyDescent="0.25">
      <c r="A26" t="s">
        <v>41</v>
      </c>
      <c r="B26" s="8" t="s">
        <v>133</v>
      </c>
      <c r="C26" s="5">
        <v>1.7205781142463867E-2</v>
      </c>
      <c r="D26" s="5">
        <v>0</v>
      </c>
      <c r="E26" s="5">
        <f t="shared" si="0"/>
        <v>38.205437026841025</v>
      </c>
      <c r="F26" s="5">
        <v>8.6286992429456291</v>
      </c>
      <c r="G26" s="5">
        <v>12.577426015141087</v>
      </c>
      <c r="H26" s="5">
        <v>16.637990364762562</v>
      </c>
      <c r="I26" s="5">
        <v>8.9900206469373707</v>
      </c>
      <c r="J26" s="5">
        <v>2.2453544390915345</v>
      </c>
      <c r="K26" s="5">
        <f t="shared" si="1"/>
        <v>43.306951135581556</v>
      </c>
      <c r="L26" s="5">
        <v>2.5722642807983482</v>
      </c>
      <c r="M26" s="5">
        <v>6.6070199587061254</v>
      </c>
      <c r="N26" s="5">
        <v>34.127666896077081</v>
      </c>
      <c r="O26" s="5">
        <v>1.4194769442532691</v>
      </c>
      <c r="P26" s="5">
        <v>1.040949759119064</v>
      </c>
      <c r="Q26" s="5">
        <f t="shared" si="2"/>
        <v>0.25808671713695802</v>
      </c>
      <c r="R26" s="5">
        <v>0.25808671713695802</v>
      </c>
      <c r="S26" s="5">
        <v>0</v>
      </c>
      <c r="T26" s="5">
        <f t="shared" si="3"/>
        <v>4.8778389538885065</v>
      </c>
      <c r="U26" s="5">
        <v>4.6025464556090849</v>
      </c>
      <c r="V26" s="5">
        <v>0.27529249827942187</v>
      </c>
    </row>
    <row r="27" spans="1:22" x14ac:dyDescent="0.25">
      <c r="A27" t="s">
        <v>42</v>
      </c>
      <c r="B27" s="8" t="s">
        <v>115</v>
      </c>
      <c r="C27" s="5">
        <v>0.91096063175459363</v>
      </c>
      <c r="D27" s="5">
        <v>0</v>
      </c>
      <c r="E27" s="5">
        <f t="shared" si="0"/>
        <v>14.609082442422245</v>
      </c>
      <c r="F27" s="5">
        <v>6.9107860067133622</v>
      </c>
      <c r="G27" s="5">
        <v>7.6545593304746573</v>
      </c>
      <c r="H27" s="5">
        <v>5.0399535626742207</v>
      </c>
      <c r="I27" s="5">
        <v>1.9145695492733656</v>
      </c>
      <c r="J27" s="5">
        <v>0.23267169845489177</v>
      </c>
      <c r="K27" s="5">
        <f t="shared" si="1"/>
        <v>64.207364002664647</v>
      </c>
      <c r="L27" s="5">
        <v>1.9047873131673749</v>
      </c>
      <c r="M27" s="5">
        <v>51.700007114353532</v>
      </c>
      <c r="N27" s="5">
        <v>10.602569575143743</v>
      </c>
      <c r="O27" s="5">
        <v>4.7160079422055787</v>
      </c>
      <c r="P27" s="5">
        <v>1.2747628009856615</v>
      </c>
      <c r="Q27" s="5">
        <f t="shared" si="2"/>
        <v>4.8191660684142095</v>
      </c>
      <c r="R27" s="5">
        <v>4.7379169172859381</v>
      </c>
      <c r="S27" s="5">
        <v>8.1249151128271788E-2</v>
      </c>
      <c r="T27" s="5">
        <f t="shared" si="3"/>
        <v>2.319198406384809</v>
      </c>
      <c r="U27" s="5">
        <v>1.8097136796083224</v>
      </c>
      <c r="V27" s="5">
        <v>0.50948472677648649</v>
      </c>
    </row>
    <row r="28" spans="1:22" x14ac:dyDescent="0.25">
      <c r="A28" t="s">
        <v>43</v>
      </c>
      <c r="B28" s="8" t="s">
        <v>126</v>
      </c>
      <c r="C28" s="5">
        <v>5.0225136808956563</v>
      </c>
      <c r="D28" s="5">
        <v>0</v>
      </c>
      <c r="E28" s="5">
        <f t="shared" si="0"/>
        <v>31.146964246258264</v>
      </c>
      <c r="F28" s="5">
        <v>14.475256402830784</v>
      </c>
      <c r="G28" s="5">
        <v>18.20572720583661</v>
      </c>
      <c r="H28" s="5">
        <v>10.027865908988526</v>
      </c>
      <c r="I28" s="5">
        <v>2.9133711314331312</v>
      </c>
      <c r="J28" s="5">
        <v>0.49317724992009204</v>
      </c>
      <c r="K28" s="5">
        <f t="shared" si="1"/>
        <v>41.444694000570614</v>
      </c>
      <c r="L28" s="5">
        <v>4.7472868815709592</v>
      </c>
      <c r="M28" s="5">
        <v>14.345472916009705</v>
      </c>
      <c r="N28" s="5">
        <v>22.351934202989952</v>
      </c>
      <c r="O28" s="5">
        <v>1.2285455025195158</v>
      </c>
      <c r="P28" s="5">
        <v>0.62725109994186556</v>
      </c>
      <c r="Q28" s="5">
        <f t="shared" si="2"/>
        <v>2.3436108983806023</v>
      </c>
      <c r="R28" s="5">
        <v>2.2998491937334955</v>
      </c>
      <c r="S28" s="5">
        <v>4.3761704647106901E-2</v>
      </c>
      <c r="T28" s="5">
        <f t="shared" si="3"/>
        <v>3.2179869186826009</v>
      </c>
      <c r="U28" s="5">
        <v>2.3221590823771185</v>
      </c>
      <c r="V28" s="5">
        <v>0.89582783630548246</v>
      </c>
    </row>
    <row r="29" spans="1:22" x14ac:dyDescent="0.25">
      <c r="A29" t="s">
        <v>44</v>
      </c>
      <c r="B29" s="8" t="s">
        <v>127</v>
      </c>
      <c r="C29" s="5">
        <v>9.4809196492059725E-2</v>
      </c>
      <c r="D29" s="5">
        <v>0</v>
      </c>
      <c r="E29" s="5">
        <f t="shared" si="0"/>
        <v>79.947854941929364</v>
      </c>
      <c r="F29" s="5">
        <v>11.116378288694003</v>
      </c>
      <c r="G29" s="5">
        <v>40.910168286323774</v>
      </c>
      <c r="H29" s="5">
        <v>28.608675041479025</v>
      </c>
      <c r="I29" s="5">
        <v>10.429011614126571</v>
      </c>
      <c r="J29" s="5">
        <v>7.1106897369044797E-2</v>
      </c>
      <c r="K29" s="5">
        <f t="shared" si="1"/>
        <v>6.802559848305286</v>
      </c>
      <c r="L29" s="5">
        <v>4.0056885517895235</v>
      </c>
      <c r="M29" s="5">
        <v>1.0429011614126571</v>
      </c>
      <c r="N29" s="5">
        <v>1.753970135103105</v>
      </c>
      <c r="O29" s="5">
        <v>0.22517184166864188</v>
      </c>
      <c r="P29" s="5">
        <v>1.1851149561507466E-2</v>
      </c>
      <c r="Q29" s="5">
        <f t="shared" si="2"/>
        <v>0.40293908509125381</v>
      </c>
      <c r="R29" s="5">
        <v>0.40293908509125381</v>
      </c>
      <c r="S29" s="5">
        <v>0</v>
      </c>
      <c r="T29" s="5">
        <f t="shared" si="3"/>
        <v>1.3273287508888363</v>
      </c>
      <c r="U29" s="5">
        <v>0.97179426404361224</v>
      </c>
      <c r="V29" s="5">
        <v>0.35553448684522398</v>
      </c>
    </row>
    <row r="30" spans="1:22" x14ac:dyDescent="0.25">
      <c r="A30" t="s">
        <v>45</v>
      </c>
      <c r="B30" s="8" t="s">
        <v>131</v>
      </c>
      <c r="C30" s="5">
        <v>0.60833586505215342</v>
      </c>
      <c r="D30" s="5">
        <v>0</v>
      </c>
      <c r="E30" s="5">
        <f t="shared" si="0"/>
        <v>33.33695007450487</v>
      </c>
      <c r="F30" s="5">
        <v>22.978603359229201</v>
      </c>
      <c r="G30" s="5">
        <v>23.82347409689973</v>
      </c>
      <c r="H30" s="5">
        <v>7.1734444396221235</v>
      </c>
      <c r="I30" s="5">
        <v>2.3400315379830157</v>
      </c>
      <c r="J30" s="5">
        <v>0.37541773360531228</v>
      </c>
      <c r="K30" s="5">
        <f t="shared" si="1"/>
        <v>34.033534424142474</v>
      </c>
      <c r="L30" s="5">
        <v>3.5104089810916768</v>
      </c>
      <c r="M30" s="5">
        <v>14.201495884148546</v>
      </c>
      <c r="N30" s="5">
        <v>16.321629558902249</v>
      </c>
      <c r="O30" s="5">
        <v>0.83257381768731109</v>
      </c>
      <c r="P30" s="5">
        <v>0.4325622441155621</v>
      </c>
      <c r="Q30" s="5">
        <f t="shared" si="2"/>
        <v>1.6268101789563532</v>
      </c>
      <c r="R30" s="5">
        <v>1.6268101789563532</v>
      </c>
      <c r="S30" s="5">
        <v>0</v>
      </c>
      <c r="T30" s="5">
        <f t="shared" si="3"/>
        <v>5.7752123027067688</v>
      </c>
      <c r="U30" s="5">
        <v>4.3820436034315637</v>
      </c>
      <c r="V30" s="5">
        <v>1.393168699275205</v>
      </c>
    </row>
    <row r="31" spans="1:22" x14ac:dyDescent="0.25">
      <c r="A31" t="s">
        <v>46</v>
      </c>
      <c r="B31" s="8" t="s">
        <v>134</v>
      </c>
      <c r="C31" s="5">
        <v>0.5992010652463382</v>
      </c>
      <c r="D31" s="5">
        <v>0</v>
      </c>
      <c r="E31" s="5">
        <f t="shared" si="0"/>
        <v>69.645805592543269</v>
      </c>
      <c r="F31" s="5">
        <v>11.648468708388815</v>
      </c>
      <c r="G31" s="5">
        <v>22.266311584553929</v>
      </c>
      <c r="H31" s="5">
        <v>23.33155792276964</v>
      </c>
      <c r="I31" s="5">
        <v>24.047936085219707</v>
      </c>
      <c r="J31" s="5">
        <v>0.10386151797603196</v>
      </c>
      <c r="K31" s="5">
        <f t="shared" si="1"/>
        <v>8.1438082556591223</v>
      </c>
      <c r="L31" s="5">
        <v>2.7589880159786953</v>
      </c>
      <c r="M31" s="5">
        <v>2.1731025299600533</v>
      </c>
      <c r="N31" s="5">
        <v>3.2117177097203728</v>
      </c>
      <c r="O31" s="5">
        <v>0.24234354194407459</v>
      </c>
      <c r="P31" s="5">
        <v>0.27430093209054596</v>
      </c>
      <c r="Q31" s="5">
        <f t="shared" si="2"/>
        <v>3.9840213049267645</v>
      </c>
      <c r="R31" s="5">
        <v>3.6697736351531294</v>
      </c>
      <c r="S31" s="5">
        <v>0.31424766977363516</v>
      </c>
      <c r="T31" s="5">
        <f t="shared" si="3"/>
        <v>5.3581890812250332</v>
      </c>
      <c r="U31" s="5">
        <v>1.0998668442077231</v>
      </c>
      <c r="V31" s="5">
        <v>4.2583222370173104</v>
      </c>
    </row>
    <row r="32" spans="1:22" x14ac:dyDescent="0.25">
      <c r="A32" t="s">
        <v>47</v>
      </c>
      <c r="B32" s="8" t="s">
        <v>115</v>
      </c>
      <c r="C32" s="5">
        <v>0.7144959146932558</v>
      </c>
      <c r="D32" s="5">
        <v>0</v>
      </c>
      <c r="E32" s="5">
        <f t="shared" si="0"/>
        <v>2.9568705857914415</v>
      </c>
      <c r="F32" s="5">
        <v>3.5712894682176985</v>
      </c>
      <c r="G32" s="5">
        <v>2.3420189378202463</v>
      </c>
      <c r="H32" s="5">
        <v>0.5010343096524027</v>
      </c>
      <c r="I32" s="5">
        <v>0.1138173383187924</v>
      </c>
      <c r="J32" s="5">
        <v>0.11641393158842266</v>
      </c>
      <c r="K32" s="5">
        <f t="shared" si="1"/>
        <v>78.934704334579706</v>
      </c>
      <c r="L32" s="5">
        <v>1.5703979711951255</v>
      </c>
      <c r="M32" s="5">
        <v>67.097376575266594</v>
      </c>
      <c r="N32" s="5">
        <v>10.266929788117988</v>
      </c>
      <c r="O32" s="5">
        <v>5.6293060171721363</v>
      </c>
      <c r="P32" s="5">
        <v>1.4328867192909569</v>
      </c>
      <c r="Q32" s="5">
        <f t="shared" si="2"/>
        <v>5.0642224068688551</v>
      </c>
      <c r="R32" s="5">
        <v>4.9953044938374189</v>
      </c>
      <c r="S32" s="5">
        <v>6.8917913031436087E-2</v>
      </c>
      <c r="T32" s="5">
        <f t="shared" si="3"/>
        <v>1.579810621797535</v>
      </c>
      <c r="U32" s="5">
        <v>1.3309704334579697</v>
      </c>
      <c r="V32" s="5">
        <v>0.24884018833956517</v>
      </c>
    </row>
    <row r="33" spans="1:22" x14ac:dyDescent="0.25">
      <c r="A33" t="s">
        <v>48</v>
      </c>
      <c r="B33" s="8" t="s">
        <v>135</v>
      </c>
      <c r="C33" s="5">
        <v>1.857545080015734</v>
      </c>
      <c r="D33" s="5">
        <v>0</v>
      </c>
      <c r="E33" s="5">
        <f t="shared" si="0"/>
        <v>38.981533238101157</v>
      </c>
      <c r="F33" s="5">
        <v>20.292735440862884</v>
      </c>
      <c r="G33" s="5">
        <v>23.825642299650127</v>
      </c>
      <c r="H33" s="5">
        <v>13.206219075419746</v>
      </c>
      <c r="I33" s="5">
        <v>1.9496718630312815</v>
      </c>
      <c r="J33" s="5">
        <v>0.6619671656004803</v>
      </c>
      <c r="K33" s="5">
        <f t="shared" si="1"/>
        <v>27.053702668571312</v>
      </c>
      <c r="L33" s="5">
        <v>2.5769620934517525</v>
      </c>
      <c r="M33" s="5">
        <v>8.8105293667060014</v>
      </c>
      <c r="N33" s="5">
        <v>15.666211208413555</v>
      </c>
      <c r="O33" s="5">
        <v>2.9138976875142331</v>
      </c>
      <c r="P33" s="5">
        <v>1.0434134525805852</v>
      </c>
      <c r="Q33" s="5">
        <f t="shared" si="2"/>
        <v>2.6701240088607334</v>
      </c>
      <c r="R33" s="5">
        <v>2.6701240088607334</v>
      </c>
      <c r="S33" s="5">
        <v>0</v>
      </c>
      <c r="T33" s="5">
        <f t="shared" si="3"/>
        <v>4.525081257892885</v>
      </c>
      <c r="U33" s="5">
        <v>4.1136161315032194</v>
      </c>
      <c r="V33" s="5">
        <v>0.41146512638966526</v>
      </c>
    </row>
    <row r="34" spans="1:22" x14ac:dyDescent="0.25">
      <c r="A34" t="s">
        <v>49</v>
      </c>
      <c r="B34" s="8" t="s">
        <v>136</v>
      </c>
      <c r="C34" s="5">
        <v>1.844253253915729</v>
      </c>
      <c r="D34" s="5">
        <v>0</v>
      </c>
      <c r="E34" s="5">
        <f t="shared" si="0"/>
        <v>84.138539598499889</v>
      </c>
      <c r="F34" s="5">
        <v>9.0491947937348343</v>
      </c>
      <c r="G34" s="5">
        <v>30.959629384513565</v>
      </c>
      <c r="H34" s="5">
        <v>36.205603353187733</v>
      </c>
      <c r="I34" s="5">
        <v>16.973306860798587</v>
      </c>
      <c r="J34" s="5">
        <v>6.1769247738804323E-2</v>
      </c>
      <c r="K34" s="5">
        <f t="shared" si="1"/>
        <v>4.6194573130377234</v>
      </c>
      <c r="L34" s="5">
        <v>0.72799470549305101</v>
      </c>
      <c r="M34" s="5">
        <v>1.8089565409221267</v>
      </c>
      <c r="N34" s="5">
        <v>2.0825060666225457</v>
      </c>
      <c r="O34" s="5">
        <v>6.6181336863004633E-2</v>
      </c>
      <c r="P34" s="5">
        <v>2.2060445621001543E-2</v>
      </c>
      <c r="Q34" s="5">
        <f t="shared" si="2"/>
        <v>3.0884623869402161E-2</v>
      </c>
      <c r="R34" s="5">
        <v>3.0884623869402161E-2</v>
      </c>
      <c r="S34" s="5">
        <v>0</v>
      </c>
      <c r="T34" s="5">
        <f t="shared" si="3"/>
        <v>0.16765938671961172</v>
      </c>
      <c r="U34" s="5">
        <v>0.16765938671961172</v>
      </c>
      <c r="V34" s="5">
        <v>0</v>
      </c>
    </row>
    <row r="35" spans="1:22" x14ac:dyDescent="0.25">
      <c r="A35" t="s">
        <v>50</v>
      </c>
      <c r="B35" s="8" t="s">
        <v>121</v>
      </c>
      <c r="C35" s="5">
        <v>2.0279321618719743</v>
      </c>
      <c r="D35" s="5">
        <v>0</v>
      </c>
      <c r="E35" s="5">
        <f t="shared" si="0"/>
        <v>4.0768144523656522</v>
      </c>
      <c r="F35" s="5">
        <v>4.9003156620341368</v>
      </c>
      <c r="G35" s="5">
        <v>3.2003335905095915</v>
      </c>
      <c r="H35" s="5">
        <v>0.71633324402669529</v>
      </c>
      <c r="I35" s="5">
        <v>0.16014761782936524</v>
      </c>
      <c r="J35" s="5">
        <v>0.21836480217236717</v>
      </c>
      <c r="K35" s="5">
        <f t="shared" si="1"/>
        <v>82.273169532872572</v>
      </c>
      <c r="L35" s="5">
        <v>1.0938384463062305</v>
      </c>
      <c r="M35" s="5">
        <v>68.472675190414506</v>
      </c>
      <c r="N35" s="5">
        <v>12.706655896151824</v>
      </c>
      <c r="O35" s="5">
        <v>3.839513957015976</v>
      </c>
      <c r="P35" s="5">
        <v>0.60332341559616209</v>
      </c>
      <c r="Q35" s="5">
        <f t="shared" si="2"/>
        <v>0.49776699830988869</v>
      </c>
      <c r="R35" s="5">
        <v>0.49776699830988869</v>
      </c>
      <c r="S35" s="5">
        <v>0</v>
      </c>
      <c r="T35" s="5">
        <f t="shared" si="3"/>
        <v>1.5627990177612774</v>
      </c>
      <c r="U35" s="5">
        <v>1.4169538915871134</v>
      </c>
      <c r="V35" s="5">
        <v>0.14584512617416406</v>
      </c>
    </row>
    <row r="36" spans="1:22" x14ac:dyDescent="0.25">
      <c r="A36" t="s">
        <v>51</v>
      </c>
      <c r="B36" s="8" t="s">
        <v>127</v>
      </c>
      <c r="C36" s="5">
        <v>0.10759919300605246</v>
      </c>
      <c r="D36" s="5">
        <v>0</v>
      </c>
      <c r="E36" s="5">
        <f t="shared" si="0"/>
        <v>82.273032952252862</v>
      </c>
      <c r="F36" s="5">
        <v>10.733019502353732</v>
      </c>
      <c r="G36" s="5">
        <v>40.968392737054472</v>
      </c>
      <c r="H36" s="5">
        <v>29.630127774041693</v>
      </c>
      <c r="I36" s="5">
        <v>11.674512441156692</v>
      </c>
      <c r="J36" s="5">
        <v>8.0699394754539341E-2</v>
      </c>
      <c r="K36" s="5">
        <f t="shared" si="1"/>
        <v>5.6624075319435097</v>
      </c>
      <c r="L36" s="5">
        <v>2.9320780094149295</v>
      </c>
      <c r="M36" s="5">
        <v>1.062542030934768</v>
      </c>
      <c r="N36" s="5">
        <v>1.6677874915938129</v>
      </c>
      <c r="O36" s="5">
        <v>0.25554808338937457</v>
      </c>
      <c r="P36" s="5">
        <v>1.3449899125756557E-2</v>
      </c>
      <c r="Q36" s="5">
        <f t="shared" si="2"/>
        <v>0.43039677202420984</v>
      </c>
      <c r="R36" s="5">
        <v>0.43039677202420984</v>
      </c>
      <c r="S36" s="5">
        <v>0</v>
      </c>
      <c r="T36" s="5">
        <f t="shared" si="3"/>
        <v>0.4438466711499664</v>
      </c>
      <c r="U36" s="5">
        <v>0.4438466711499664</v>
      </c>
      <c r="V36" s="5">
        <v>0</v>
      </c>
    </row>
    <row r="37" spans="1:22" x14ac:dyDescent="0.25">
      <c r="A37" t="s">
        <v>52</v>
      </c>
      <c r="B37" s="8" t="s">
        <v>137</v>
      </c>
      <c r="C37" s="5">
        <v>0</v>
      </c>
      <c r="D37" s="5">
        <v>0</v>
      </c>
      <c r="E37" s="5">
        <f t="shared" si="0"/>
        <v>57.675753228120513</v>
      </c>
      <c r="F37" s="5">
        <v>8.4648493543758967</v>
      </c>
      <c r="G37" s="5">
        <v>31.563845050215207</v>
      </c>
      <c r="H37" s="5">
        <v>20.516499282639884</v>
      </c>
      <c r="I37" s="5">
        <v>5.5954088952654235</v>
      </c>
      <c r="J37" s="5">
        <v>0.71736011477761841</v>
      </c>
      <c r="K37" s="5">
        <f t="shared" si="1"/>
        <v>33.142037302725967</v>
      </c>
      <c r="L37" s="5">
        <v>9.0387374461979917</v>
      </c>
      <c r="M37" s="5">
        <v>8.8952654232424688</v>
      </c>
      <c r="N37" s="5">
        <v>15.208034433285508</v>
      </c>
      <c r="O37" s="5">
        <v>0</v>
      </c>
      <c r="P37" s="5">
        <v>0</v>
      </c>
      <c r="Q37" s="5">
        <f t="shared" si="2"/>
        <v>0</v>
      </c>
      <c r="R37" s="5">
        <v>0</v>
      </c>
      <c r="S37" s="5">
        <v>0</v>
      </c>
      <c r="T37" s="5">
        <f t="shared" si="3"/>
        <v>0</v>
      </c>
      <c r="U37" s="5">
        <v>0</v>
      </c>
      <c r="V37" s="5">
        <v>0</v>
      </c>
    </row>
    <row r="38" spans="1:22" x14ac:dyDescent="0.25">
      <c r="A38" t="s">
        <v>53</v>
      </c>
      <c r="B38" s="8" t="s">
        <v>138</v>
      </c>
      <c r="C38" s="5">
        <v>0</v>
      </c>
      <c r="D38" s="5">
        <v>0</v>
      </c>
      <c r="E38" s="5">
        <f t="shared" si="0"/>
        <v>58.545524691358018</v>
      </c>
      <c r="F38" s="5">
        <v>14.583333333333334</v>
      </c>
      <c r="G38" s="5">
        <v>33.834876543209873</v>
      </c>
      <c r="H38" s="5">
        <v>23.398919753086421</v>
      </c>
      <c r="I38" s="5">
        <v>1.3117283950617282</v>
      </c>
      <c r="J38" s="5">
        <v>0.23148148148148145</v>
      </c>
      <c r="K38" s="5">
        <f t="shared" si="1"/>
        <v>25.077160493827162</v>
      </c>
      <c r="L38" s="5">
        <v>1.7746913580246912</v>
      </c>
      <c r="M38" s="5">
        <v>3.7037037037037033</v>
      </c>
      <c r="N38" s="5">
        <v>19.598765432098766</v>
      </c>
      <c r="O38" s="5">
        <v>1.0609567901234569</v>
      </c>
      <c r="P38" s="5">
        <v>0.11574074074074073</v>
      </c>
      <c r="Q38" s="5">
        <f t="shared" si="2"/>
        <v>0.19290123456790123</v>
      </c>
      <c r="R38" s="5">
        <v>0.19290123456790123</v>
      </c>
      <c r="S38" s="5">
        <v>0</v>
      </c>
      <c r="T38" s="5">
        <f t="shared" si="3"/>
        <v>0.19290123456790123</v>
      </c>
      <c r="U38" s="5">
        <v>0.19290123456790123</v>
      </c>
      <c r="V38" s="5">
        <v>0</v>
      </c>
    </row>
    <row r="39" spans="1:22" x14ac:dyDescent="0.25">
      <c r="A39" t="s">
        <v>54</v>
      </c>
      <c r="B39" s="8" t="s">
        <v>139</v>
      </c>
      <c r="C39" s="5">
        <v>0</v>
      </c>
      <c r="D39" s="5">
        <v>0</v>
      </c>
      <c r="E39" s="5">
        <f t="shared" si="0"/>
        <v>87.361878453038671</v>
      </c>
      <c r="F39" s="5">
        <v>3.867403314917127</v>
      </c>
      <c r="G39" s="5">
        <v>34.668508287292816</v>
      </c>
      <c r="H39" s="5">
        <v>49.723756906077348</v>
      </c>
      <c r="I39" s="5">
        <v>2.9696132596685083</v>
      </c>
      <c r="J39" s="5">
        <v>0</v>
      </c>
      <c r="K39" s="5">
        <f t="shared" si="1"/>
        <v>8.7707182320441994</v>
      </c>
      <c r="L39" s="5">
        <v>0.62154696132596687</v>
      </c>
      <c r="M39" s="5">
        <v>5.6629834254143647</v>
      </c>
      <c r="N39" s="5">
        <v>2.4861878453038675</v>
      </c>
      <c r="O39" s="5">
        <v>0</v>
      </c>
      <c r="P39" s="5">
        <v>0</v>
      </c>
      <c r="Q39" s="5">
        <f t="shared" si="2"/>
        <v>0</v>
      </c>
      <c r="R39" s="5">
        <v>0</v>
      </c>
      <c r="S39" s="5">
        <v>0</v>
      </c>
      <c r="T39" s="5">
        <f t="shared" si="3"/>
        <v>0</v>
      </c>
      <c r="U39" s="5">
        <v>0</v>
      </c>
      <c r="V39" s="5">
        <v>0</v>
      </c>
    </row>
    <row r="40" spans="1:22" x14ac:dyDescent="0.25">
      <c r="A40" t="s">
        <v>55</v>
      </c>
      <c r="B40" s="8" t="s">
        <v>133</v>
      </c>
      <c r="C40" s="5">
        <v>0.12245418597729495</v>
      </c>
      <c r="D40" s="5">
        <v>0</v>
      </c>
      <c r="E40" s="5">
        <f t="shared" si="0"/>
        <v>8.4238275436880823</v>
      </c>
      <c r="F40" s="5">
        <v>9.5233640886092097</v>
      </c>
      <c r="G40" s="5">
        <v>7.4509970662017952</v>
      </c>
      <c r="H40" s="5">
        <v>0.84102215230239374</v>
      </c>
      <c r="I40" s="5">
        <v>0.13180832518389388</v>
      </c>
      <c r="J40" s="5">
        <v>1.0561673540541689</v>
      </c>
      <c r="K40" s="5">
        <f t="shared" si="1"/>
        <v>71.696925889706193</v>
      </c>
      <c r="L40" s="5">
        <v>7.743526510480887</v>
      </c>
      <c r="M40" s="5">
        <v>24.118372379778052</v>
      </c>
      <c r="N40" s="5">
        <v>39.835026999447251</v>
      </c>
      <c r="O40" s="5">
        <v>2.7518176793231004</v>
      </c>
      <c r="P40" s="5">
        <v>1.3954674943662571</v>
      </c>
      <c r="Q40" s="5">
        <f t="shared" si="2"/>
        <v>3.6566180534886685</v>
      </c>
      <c r="R40" s="5">
        <v>3.6566180534886685</v>
      </c>
      <c r="S40" s="5">
        <v>0</v>
      </c>
      <c r="T40" s="5">
        <f t="shared" si="3"/>
        <v>1.3733577107870232</v>
      </c>
      <c r="U40" s="5">
        <v>1.2372975041455843</v>
      </c>
      <c r="V40" s="5">
        <v>0.13606020664143884</v>
      </c>
    </row>
    <row r="41" spans="1:22" x14ac:dyDescent="0.25">
      <c r="A41" t="s">
        <v>56</v>
      </c>
      <c r="B41" s="8" t="s">
        <v>133</v>
      </c>
      <c r="C41" s="5">
        <v>1.7625804177315588E-2</v>
      </c>
      <c r="D41" s="5">
        <v>0</v>
      </c>
      <c r="E41" s="5">
        <f t="shared" si="0"/>
        <v>37.225698422490524</v>
      </c>
      <c r="F41" s="5">
        <v>8.3810698863135631</v>
      </c>
      <c r="G41" s="5">
        <v>12.346875826209571</v>
      </c>
      <c r="H41" s="5">
        <v>16.295055961928263</v>
      </c>
      <c r="I41" s="5">
        <v>8.5837666343526919</v>
      </c>
      <c r="J41" s="5">
        <v>2.3001674451396843</v>
      </c>
      <c r="K41" s="5">
        <f t="shared" si="1"/>
        <v>44.364149114303345</v>
      </c>
      <c r="L41" s="5">
        <v>2.6350577245086808</v>
      </c>
      <c r="M41" s="5">
        <v>6.7683088040891866</v>
      </c>
      <c r="N41" s="5">
        <v>34.960782585705473</v>
      </c>
      <c r="O41" s="5">
        <v>1.4541288446285363</v>
      </c>
      <c r="P41" s="5">
        <v>1.0663611527275931</v>
      </c>
      <c r="Q41" s="5">
        <f t="shared" si="2"/>
        <v>0.25557416057107607</v>
      </c>
      <c r="R41" s="5">
        <v>0.25557416057107607</v>
      </c>
      <c r="S41" s="5">
        <v>0</v>
      </c>
      <c r="T41" s="5">
        <f t="shared" si="3"/>
        <v>4.9352251696483647</v>
      </c>
      <c r="U41" s="5">
        <v>4.6532123028113155</v>
      </c>
      <c r="V41" s="5">
        <v>0.2820128668370494</v>
      </c>
    </row>
    <row r="42" spans="1:22" x14ac:dyDescent="0.25">
      <c r="A42" t="s">
        <v>57</v>
      </c>
      <c r="B42" s="8" t="s">
        <v>140</v>
      </c>
      <c r="C42" s="5">
        <v>1.9594997022036926</v>
      </c>
      <c r="D42" s="5">
        <v>0</v>
      </c>
      <c r="E42" s="5">
        <f t="shared" si="0"/>
        <v>54.359737939249555</v>
      </c>
      <c r="F42" s="5">
        <v>20.196545562835023</v>
      </c>
      <c r="G42" s="5">
        <v>30.506253722453842</v>
      </c>
      <c r="H42" s="5">
        <v>21.17331745086361</v>
      </c>
      <c r="I42" s="5">
        <v>2.6801667659321025</v>
      </c>
      <c r="J42" s="5">
        <v>7.1471113758189389E-2</v>
      </c>
      <c r="K42" s="5">
        <f t="shared" si="1"/>
        <v>19.714115544967242</v>
      </c>
      <c r="L42" s="5">
        <v>2.2096486003573554</v>
      </c>
      <c r="M42" s="5">
        <v>7.2126265634306126</v>
      </c>
      <c r="N42" s="5">
        <v>10.291840381179274</v>
      </c>
      <c r="O42" s="5">
        <v>0.27397260273972601</v>
      </c>
      <c r="P42" s="5">
        <v>0.14889815366289458</v>
      </c>
      <c r="Q42" s="5">
        <f t="shared" si="2"/>
        <v>0.2441929720071471</v>
      </c>
      <c r="R42" s="5">
        <v>0.2441929720071471</v>
      </c>
      <c r="S42" s="5">
        <v>0</v>
      </c>
      <c r="T42" s="5">
        <f t="shared" si="3"/>
        <v>3.0315664085765337</v>
      </c>
      <c r="U42" s="5">
        <v>2.5610482430017867</v>
      </c>
      <c r="V42" s="5">
        <v>0.47051816557474685</v>
      </c>
    </row>
    <row r="43" spans="1:22" x14ac:dyDescent="0.25">
      <c r="A43" t="s">
        <v>58</v>
      </c>
      <c r="B43" s="8" t="s">
        <v>141</v>
      </c>
      <c r="C43" s="5">
        <v>7.2696374622356492</v>
      </c>
      <c r="D43" s="5">
        <v>0</v>
      </c>
      <c r="E43" s="5">
        <f t="shared" si="0"/>
        <v>38.614048338368576</v>
      </c>
      <c r="F43" s="5">
        <v>25.698640483383684</v>
      </c>
      <c r="G43" s="5">
        <v>27.567975830815712</v>
      </c>
      <c r="H43" s="5">
        <v>9.4033232628398782</v>
      </c>
      <c r="I43" s="5">
        <v>1.6427492447129908</v>
      </c>
      <c r="J43" s="5">
        <v>0</v>
      </c>
      <c r="K43" s="5">
        <f t="shared" si="1"/>
        <v>25.604229607250755</v>
      </c>
      <c r="L43" s="5">
        <v>4.2296072507552873</v>
      </c>
      <c r="M43" s="5">
        <v>5.6646525679758311</v>
      </c>
      <c r="N43" s="5">
        <v>15.709969788519636</v>
      </c>
      <c r="O43" s="5">
        <v>0</v>
      </c>
      <c r="P43" s="5">
        <v>9.4410876132930519E-2</v>
      </c>
      <c r="Q43" s="5">
        <f t="shared" si="2"/>
        <v>0.16993957703927492</v>
      </c>
      <c r="R43" s="5">
        <v>0.16993957703927492</v>
      </c>
      <c r="S43" s="5">
        <v>0</v>
      </c>
      <c r="T43" s="5">
        <f t="shared" si="3"/>
        <v>2.5490936555891239</v>
      </c>
      <c r="U43" s="5">
        <v>2.3980362537764353</v>
      </c>
      <c r="V43" s="5">
        <v>0.15105740181268881</v>
      </c>
    </row>
    <row r="44" spans="1:22" x14ac:dyDescent="0.25">
      <c r="A44" t="s">
        <v>59</v>
      </c>
      <c r="B44" s="8" t="s">
        <v>142</v>
      </c>
      <c r="C44" s="5">
        <v>0</v>
      </c>
      <c r="D44" s="5">
        <v>0</v>
      </c>
      <c r="E44" s="5">
        <f t="shared" si="0"/>
        <v>41.862392926222704</v>
      </c>
      <c r="F44" s="5">
        <v>28.350373031224095</v>
      </c>
      <c r="G44" s="5">
        <v>22.823984526112184</v>
      </c>
      <c r="H44" s="5">
        <v>15.860735009671178</v>
      </c>
      <c r="I44" s="5">
        <v>3.1776733904393479</v>
      </c>
      <c r="J44" s="5">
        <v>0</v>
      </c>
      <c r="K44" s="5">
        <f t="shared" si="1"/>
        <v>26.112185686653774</v>
      </c>
      <c r="L44" s="5">
        <v>5.2500690798563143</v>
      </c>
      <c r="M44" s="5">
        <v>6.3829787234042552</v>
      </c>
      <c r="N44" s="5">
        <v>14.479137883393204</v>
      </c>
      <c r="O44" s="5">
        <v>5.5263885051119094E-2</v>
      </c>
      <c r="P44" s="5">
        <v>0.13815971262779772</v>
      </c>
      <c r="Q44" s="5">
        <f t="shared" si="2"/>
        <v>0</v>
      </c>
      <c r="R44" s="5">
        <v>0</v>
      </c>
      <c r="S44" s="5">
        <v>0</v>
      </c>
      <c r="T44" s="5">
        <f t="shared" si="3"/>
        <v>3.4816247582205029</v>
      </c>
      <c r="U44" s="5">
        <v>3.4263608731693838</v>
      </c>
      <c r="V44" s="5">
        <v>5.5263885051119094E-2</v>
      </c>
    </row>
    <row r="45" spans="1:22" x14ac:dyDescent="0.25">
      <c r="A45" t="s">
        <v>60</v>
      </c>
      <c r="B45" s="8" t="s">
        <v>143</v>
      </c>
      <c r="C45" s="5">
        <v>0</v>
      </c>
      <c r="D45" s="5">
        <v>0</v>
      </c>
      <c r="E45" s="5">
        <f t="shared" si="0"/>
        <v>45.114006514657973</v>
      </c>
      <c r="F45" s="5">
        <v>21.172638436482085</v>
      </c>
      <c r="G45" s="5">
        <v>37.133550488599347</v>
      </c>
      <c r="H45" s="5">
        <v>7.8175895765472303</v>
      </c>
      <c r="I45" s="5">
        <v>0.16286644951140067</v>
      </c>
      <c r="J45" s="5">
        <v>0</v>
      </c>
      <c r="K45" s="5">
        <f t="shared" si="1"/>
        <v>33.713355048859938</v>
      </c>
      <c r="L45" s="5">
        <v>7.1661237785016292</v>
      </c>
      <c r="M45" s="5">
        <v>10.097719869706841</v>
      </c>
      <c r="N45" s="5">
        <v>16.449511400651463</v>
      </c>
      <c r="O45" s="5">
        <v>0</v>
      </c>
      <c r="P45" s="5">
        <v>0</v>
      </c>
      <c r="Q45" s="5">
        <f t="shared" si="2"/>
        <v>0</v>
      </c>
      <c r="R45" s="5">
        <v>0</v>
      </c>
      <c r="S45" s="5">
        <v>0</v>
      </c>
      <c r="T45" s="5">
        <f t="shared" si="3"/>
        <v>0</v>
      </c>
      <c r="U45" s="5">
        <v>0</v>
      </c>
      <c r="V45" s="5">
        <v>0</v>
      </c>
    </row>
    <row r="46" spans="1:22" x14ac:dyDescent="0.25">
      <c r="A46" t="s">
        <v>61</v>
      </c>
      <c r="B46" s="8" t="s">
        <v>144</v>
      </c>
      <c r="C46" s="5">
        <v>0.31895249286553634</v>
      </c>
      <c r="D46" s="5">
        <v>0</v>
      </c>
      <c r="E46" s="5">
        <f t="shared" si="0"/>
        <v>47.490347490347496</v>
      </c>
      <c r="F46" s="5">
        <v>24.710424710424711</v>
      </c>
      <c r="G46" s="5">
        <v>27.127748866879305</v>
      </c>
      <c r="H46" s="5">
        <v>16.417659895920767</v>
      </c>
      <c r="I46" s="5">
        <v>3.9449387275474228</v>
      </c>
      <c r="J46" s="5">
        <v>0.14268927312405574</v>
      </c>
      <c r="K46" s="5">
        <f t="shared" si="1"/>
        <v>19.447708578143363</v>
      </c>
      <c r="L46" s="5">
        <v>1.5192210844384757</v>
      </c>
      <c r="M46" s="5">
        <v>4.6667785798220587</v>
      </c>
      <c r="N46" s="5">
        <v>13.261708913882828</v>
      </c>
      <c r="O46" s="5">
        <v>1.3849252979687763</v>
      </c>
      <c r="P46" s="5">
        <v>0.40288735940909853</v>
      </c>
      <c r="Q46" s="5">
        <f t="shared" si="2"/>
        <v>0.75541379889205984</v>
      </c>
      <c r="R46" s="5">
        <v>0.75541379889205984</v>
      </c>
      <c r="S46" s="5">
        <v>0</v>
      </c>
      <c r="T46" s="5">
        <f t="shared" si="3"/>
        <v>5.346650998824912</v>
      </c>
      <c r="U46" s="5">
        <v>4.7758939063286894</v>
      </c>
      <c r="V46" s="5">
        <v>0.57075709249622297</v>
      </c>
    </row>
    <row r="47" spans="1:22" x14ac:dyDescent="0.25">
      <c r="A47" t="s">
        <v>62</v>
      </c>
      <c r="B47" s="8" t="s">
        <v>145</v>
      </c>
      <c r="C47" s="5">
        <v>2.0010506709967046</v>
      </c>
      <c r="D47" s="5">
        <v>0</v>
      </c>
      <c r="E47" s="5">
        <f t="shared" si="0"/>
        <v>8.5438655141124222</v>
      </c>
      <c r="F47" s="5">
        <v>10.602225512202111</v>
      </c>
      <c r="G47" s="5">
        <v>7.679449830459907</v>
      </c>
      <c r="H47" s="5">
        <v>0.72114236592005354</v>
      </c>
      <c r="I47" s="5">
        <v>0.14327331773246094</v>
      </c>
      <c r="J47" s="5">
        <v>6.2085104350733084E-2</v>
      </c>
      <c r="K47" s="5">
        <f t="shared" si="1"/>
        <v>51.912698791728353</v>
      </c>
      <c r="L47" s="5">
        <v>5.7548115955871815</v>
      </c>
      <c r="M47" s="5">
        <v>13.267109222025885</v>
      </c>
      <c r="N47" s="5">
        <v>32.890777974115288</v>
      </c>
      <c r="O47" s="5">
        <v>4.2313386503653465</v>
      </c>
      <c r="P47" s="5">
        <v>2.3926644061320981</v>
      </c>
      <c r="Q47" s="5">
        <f t="shared" si="2"/>
        <v>18.300778451693013</v>
      </c>
      <c r="R47" s="5">
        <v>17.312192559339032</v>
      </c>
      <c r="S47" s="5">
        <v>0.98858589235398064</v>
      </c>
      <c r="T47" s="5">
        <f t="shared" si="3"/>
        <v>1.9532928984192177</v>
      </c>
      <c r="U47" s="5">
        <v>1.1939443144371746</v>
      </c>
      <c r="V47" s="5">
        <v>0.75934858398204308</v>
      </c>
    </row>
    <row r="48" spans="1:22" x14ac:dyDescent="0.25">
      <c r="A48" t="s">
        <v>63</v>
      </c>
      <c r="B48" s="8" t="s">
        <v>115</v>
      </c>
      <c r="C48" s="5">
        <v>0.75706780402172469</v>
      </c>
      <c r="D48" s="5">
        <v>0</v>
      </c>
      <c r="E48" s="5">
        <f t="shared" si="0"/>
        <v>0.94161337955422619</v>
      </c>
      <c r="F48" s="5">
        <v>2.3698136165736123</v>
      </c>
      <c r="G48" s="5">
        <v>0.8488335984486004</v>
      </c>
      <c r="H48" s="5">
        <v>7.4908265892656839E-2</v>
      </c>
      <c r="I48" s="5">
        <v>1.787151521296889E-2</v>
      </c>
      <c r="J48" s="5">
        <v>0.10570811125968833</v>
      </c>
      <c r="K48" s="5">
        <f t="shared" si="1"/>
        <v>86.696114529795381</v>
      </c>
      <c r="L48" s="5">
        <v>1.280158181921885</v>
      </c>
      <c r="M48" s="5">
        <v>76.784141248344355</v>
      </c>
      <c r="N48" s="5">
        <v>8.6318150995291312</v>
      </c>
      <c r="O48" s="5">
        <v>6.2132033740406731</v>
      </c>
      <c r="P48" s="5">
        <v>1.4723086575450115</v>
      </c>
      <c r="Q48" s="5">
        <f t="shared" si="2"/>
        <v>0.68646898151375535</v>
      </c>
      <c r="R48" s="5">
        <v>0.61472942399219233</v>
      </c>
      <c r="S48" s="5">
        <v>7.1739557521563052E-2</v>
      </c>
      <c r="T48" s="5">
        <f t="shared" si="3"/>
        <v>0.75770154569594339</v>
      </c>
      <c r="U48" s="5">
        <v>0.69153891490750541</v>
      </c>
      <c r="V48" s="5">
        <v>6.6162630788438023E-2</v>
      </c>
    </row>
    <row r="49" spans="1:22" x14ac:dyDescent="0.25">
      <c r="A49" t="s">
        <v>64</v>
      </c>
      <c r="B49" s="8" t="s">
        <v>146</v>
      </c>
      <c r="C49" s="5">
        <v>0.11982897137721615</v>
      </c>
      <c r="D49" s="5">
        <v>0</v>
      </c>
      <c r="E49" s="5">
        <f t="shared" si="0"/>
        <v>33.285220185734907</v>
      </c>
      <c r="F49" s="5">
        <v>23.230480132901224</v>
      </c>
      <c r="G49" s="5">
        <v>24.333451346714234</v>
      </c>
      <c r="H49" s="5">
        <v>7.7861597538059311</v>
      </c>
      <c r="I49" s="5">
        <v>1.1656090852147389</v>
      </c>
      <c r="J49" s="5">
        <v>0.44391187123832343</v>
      </c>
      <c r="K49" s="5">
        <f t="shared" si="1"/>
        <v>33.307007271439858</v>
      </c>
      <c r="L49" s="5">
        <v>4.1613333696451429</v>
      </c>
      <c r="M49" s="5">
        <v>8.148370053650698</v>
      </c>
      <c r="N49" s="5">
        <v>20.997303848144014</v>
      </c>
      <c r="O49" s="5">
        <v>0.86876004248481709</v>
      </c>
      <c r="P49" s="5">
        <v>0.53923037119747264</v>
      </c>
      <c r="Q49" s="5">
        <f t="shared" si="2"/>
        <v>1.255480813747651</v>
      </c>
      <c r="R49" s="5">
        <v>1.255480813747651</v>
      </c>
      <c r="S49" s="5">
        <v>0</v>
      </c>
      <c r="T49" s="5">
        <f t="shared" si="3"/>
        <v>6.9500803398785367</v>
      </c>
      <c r="U49" s="5">
        <v>4.0278874697023337</v>
      </c>
      <c r="V49" s="5">
        <v>2.922192870176203</v>
      </c>
    </row>
    <row r="50" spans="1:22" x14ac:dyDescent="0.25">
      <c r="A50" t="s">
        <v>65</v>
      </c>
      <c r="B50" s="8" t="s">
        <v>147</v>
      </c>
      <c r="C50" s="5">
        <v>0</v>
      </c>
      <c r="D50" s="5">
        <v>0</v>
      </c>
      <c r="E50" s="5">
        <f t="shared" si="0"/>
        <v>64.103194103194099</v>
      </c>
      <c r="F50" s="5">
        <v>9.3734643734643743</v>
      </c>
      <c r="G50" s="5">
        <v>32.518427518427515</v>
      </c>
      <c r="H50" s="5">
        <v>21.646191646191646</v>
      </c>
      <c r="I50" s="5">
        <v>9.9385749385749378</v>
      </c>
      <c r="J50" s="5">
        <v>0.35626535626535627</v>
      </c>
      <c r="K50" s="5">
        <f t="shared" si="1"/>
        <v>24.152334152334149</v>
      </c>
      <c r="L50" s="5">
        <v>1.5601965601965602</v>
      </c>
      <c r="M50" s="5">
        <v>18.5012285012285</v>
      </c>
      <c r="N50" s="5">
        <v>4.0909090909090908</v>
      </c>
      <c r="O50" s="5">
        <v>0</v>
      </c>
      <c r="P50" s="5">
        <v>1.2285012285012284E-2</v>
      </c>
      <c r="Q50" s="5">
        <f t="shared" si="2"/>
        <v>0.18427518427518427</v>
      </c>
      <c r="R50" s="5">
        <v>0.18427518427518427</v>
      </c>
      <c r="S50" s="5">
        <v>0</v>
      </c>
      <c r="T50" s="5">
        <f t="shared" si="3"/>
        <v>1.8181818181818181</v>
      </c>
      <c r="U50" s="5">
        <v>0.89680589680589673</v>
      </c>
      <c r="V50" s="5">
        <v>0.92137592137592139</v>
      </c>
    </row>
    <row r="51" spans="1:22" x14ac:dyDescent="0.25">
      <c r="A51" t="s">
        <v>66</v>
      </c>
      <c r="B51" s="8" t="s">
        <v>128</v>
      </c>
      <c r="C51" s="5">
        <v>0.51326889137157761</v>
      </c>
      <c r="D51" s="5">
        <v>0</v>
      </c>
      <c r="E51" s="5">
        <f t="shared" si="0"/>
        <v>79.321902171273138</v>
      </c>
      <c r="F51" s="5">
        <v>11.555836207315295</v>
      </c>
      <c r="G51" s="5">
        <v>26.834086235650329</v>
      </c>
      <c r="H51" s="5">
        <v>35.088486261556646</v>
      </c>
      <c r="I51" s="5">
        <v>17.399329674066159</v>
      </c>
      <c r="J51" s="5">
        <v>0.13762730525736308</v>
      </c>
      <c r="K51" s="5">
        <f t="shared" si="1"/>
        <v>5.0857337154514983</v>
      </c>
      <c r="L51" s="5">
        <v>1.4620877252635158</v>
      </c>
      <c r="M51" s="5">
        <v>1.6677191107656937</v>
      </c>
      <c r="N51" s="5">
        <v>1.955926879422289</v>
      </c>
      <c r="O51" s="5">
        <v>0.12305500234775991</v>
      </c>
      <c r="P51" s="5">
        <v>0.14572302909603146</v>
      </c>
      <c r="Q51" s="5">
        <f t="shared" si="2"/>
        <v>5.9908356406146272E-2</v>
      </c>
      <c r="R51" s="5">
        <v>5.9908356406146272E-2</v>
      </c>
      <c r="S51" s="5">
        <v>0</v>
      </c>
      <c r="T51" s="5">
        <f t="shared" si="3"/>
        <v>3.0569453214811935</v>
      </c>
      <c r="U51" s="5">
        <v>3.0002752546105147</v>
      </c>
      <c r="V51" s="5">
        <v>5.6670066870678909E-2</v>
      </c>
    </row>
    <row r="52" spans="1:22" x14ac:dyDescent="0.25">
      <c r="A52" t="s">
        <v>67</v>
      </c>
      <c r="B52" s="8" t="s">
        <v>148</v>
      </c>
      <c r="C52" s="5">
        <v>0.12088244182532487</v>
      </c>
      <c r="D52" s="5">
        <v>0</v>
      </c>
      <c r="E52" s="5">
        <f t="shared" si="0"/>
        <v>10.605275655139662</v>
      </c>
      <c r="F52" s="5">
        <v>4.7619047619047619</v>
      </c>
      <c r="G52" s="5">
        <v>5.4245995769114534</v>
      </c>
      <c r="H52" s="5">
        <v>3.755990156715451</v>
      </c>
      <c r="I52" s="5">
        <v>1.4246859215127574</v>
      </c>
      <c r="J52" s="5">
        <v>1.7204161809782843</v>
      </c>
      <c r="K52" s="5">
        <f t="shared" si="1"/>
        <v>59.543237059102879</v>
      </c>
      <c r="L52" s="5">
        <v>2.0938565816172345</v>
      </c>
      <c r="M52" s="5">
        <v>42.084358675473815</v>
      </c>
      <c r="N52" s="5">
        <v>15.36502180201183</v>
      </c>
      <c r="O52" s="5">
        <v>5.9318741095712983</v>
      </c>
      <c r="P52" s="5">
        <v>2.3377800803004791</v>
      </c>
      <c r="Q52" s="5">
        <f t="shared" si="2"/>
        <v>11.358632301515348</v>
      </c>
      <c r="R52" s="5">
        <v>11.358632301515348</v>
      </c>
      <c r="S52" s="5">
        <v>0</v>
      </c>
      <c r="T52" s="5">
        <f t="shared" si="3"/>
        <v>3.6199974096619609</v>
      </c>
      <c r="U52" s="5">
        <v>2.9573025946552693</v>
      </c>
      <c r="V52" s="5">
        <v>0.6626948150066917</v>
      </c>
    </row>
    <row r="53" spans="1:22" x14ac:dyDescent="0.25">
      <c r="A53" t="s">
        <v>68</v>
      </c>
      <c r="B53" s="8" t="s">
        <v>149</v>
      </c>
      <c r="C53" s="5">
        <v>7.2533413425439255</v>
      </c>
      <c r="D53" s="5">
        <v>0</v>
      </c>
      <c r="E53" s="5">
        <f t="shared" si="0"/>
        <v>34.039145016769289</v>
      </c>
      <c r="F53" s="5">
        <v>23.451969765230015</v>
      </c>
      <c r="G53" s="5">
        <v>25.10386944986735</v>
      </c>
      <c r="H53" s="5">
        <v>7.8590378935776144</v>
      </c>
      <c r="I53" s="5">
        <v>1.0762376733243229</v>
      </c>
      <c r="J53" s="5">
        <v>0.115132402262602</v>
      </c>
      <c r="K53" s="5">
        <f t="shared" si="1"/>
        <v>29.644090704309956</v>
      </c>
      <c r="L53" s="5">
        <v>3.7793462481854134</v>
      </c>
      <c r="M53" s="5">
        <v>10.301847124192822</v>
      </c>
      <c r="N53" s="5">
        <v>15.562897331931721</v>
      </c>
      <c r="O53" s="5">
        <v>2.107423537067628</v>
      </c>
      <c r="P53" s="5">
        <v>0.36542023326825851</v>
      </c>
      <c r="Q53" s="5">
        <f t="shared" si="2"/>
        <v>1.7620263302798218</v>
      </c>
      <c r="R53" s="5">
        <v>1.7620263302798218</v>
      </c>
      <c r="S53" s="5">
        <v>0</v>
      </c>
      <c r="T53" s="5">
        <f t="shared" si="3"/>
        <v>1.2614506682685089</v>
      </c>
      <c r="U53" s="5">
        <v>1.1813585623466989</v>
      </c>
      <c r="V53" s="5">
        <v>8.0092105921810083E-2</v>
      </c>
    </row>
    <row r="54" spans="1:22" x14ac:dyDescent="0.25">
      <c r="A54" t="s">
        <v>69</v>
      </c>
      <c r="B54" s="8" t="s">
        <v>150</v>
      </c>
      <c r="C54" s="5">
        <v>9.1802074726888838E-3</v>
      </c>
      <c r="D54" s="5">
        <v>0</v>
      </c>
      <c r="E54" s="5">
        <f t="shared" si="0"/>
        <v>85.128063894244008</v>
      </c>
      <c r="F54" s="5">
        <v>8.7579179289451936</v>
      </c>
      <c r="G54" s="5">
        <v>21.105296979711742</v>
      </c>
      <c r="H54" s="5">
        <v>53.226842926650143</v>
      </c>
      <c r="I54" s="5">
        <v>10.795923987882126</v>
      </c>
      <c r="J54" s="5">
        <v>1.8360414945377768E-2</v>
      </c>
      <c r="K54" s="5">
        <f t="shared" si="1"/>
        <v>4.764527678325531</v>
      </c>
      <c r="L54" s="5">
        <v>3.9566694207289088</v>
      </c>
      <c r="M54" s="5">
        <v>0.32130726154411093</v>
      </c>
      <c r="N54" s="5">
        <v>0.48655099605251079</v>
      </c>
      <c r="O54" s="5">
        <v>0.17442394198108876</v>
      </c>
      <c r="P54" s="5">
        <v>0</v>
      </c>
      <c r="Q54" s="5">
        <f t="shared" si="2"/>
        <v>0.24786560176259984</v>
      </c>
      <c r="R54" s="5">
        <v>0.24786560176259984</v>
      </c>
      <c r="S54" s="5">
        <v>0</v>
      </c>
      <c r="T54" s="5">
        <f t="shared" si="3"/>
        <v>0.89966033232351039</v>
      </c>
      <c r="U54" s="5">
        <v>0.83539888001468821</v>
      </c>
      <c r="V54" s="5">
        <v>6.4261452308822187E-2</v>
      </c>
    </row>
    <row r="55" spans="1:22" x14ac:dyDescent="0.25">
      <c r="A55" t="s">
        <v>70</v>
      </c>
      <c r="B55" s="8" t="s">
        <v>125</v>
      </c>
      <c r="C55" s="5">
        <v>1.2624668602449185E-2</v>
      </c>
      <c r="D55" s="5">
        <v>0</v>
      </c>
      <c r="E55" s="5">
        <f t="shared" si="0"/>
        <v>81.971973235702549</v>
      </c>
      <c r="F55" s="5">
        <v>8.4964019694483017</v>
      </c>
      <c r="G55" s="5">
        <v>37.204898371417748</v>
      </c>
      <c r="H55" s="5">
        <v>39.81820477212473</v>
      </c>
      <c r="I55" s="5">
        <v>4.9488700921600808</v>
      </c>
      <c r="J55" s="5">
        <v>0.18937002903673777</v>
      </c>
      <c r="K55" s="5">
        <f t="shared" si="1"/>
        <v>8.8498926903168798</v>
      </c>
      <c r="L55" s="5">
        <v>2.3229390228506501</v>
      </c>
      <c r="M55" s="5">
        <v>3.4844085342759756</v>
      </c>
      <c r="N55" s="5">
        <v>3.0425451331902535</v>
      </c>
      <c r="O55" s="5">
        <v>0.11362201742204268</v>
      </c>
      <c r="P55" s="5">
        <v>0</v>
      </c>
      <c r="Q55" s="5">
        <f t="shared" si="2"/>
        <v>0</v>
      </c>
      <c r="R55" s="5">
        <v>0</v>
      </c>
      <c r="S55" s="5">
        <v>0</v>
      </c>
      <c r="T55" s="5">
        <f t="shared" si="3"/>
        <v>0.36611538947102634</v>
      </c>
      <c r="U55" s="5">
        <v>0.36611538947102634</v>
      </c>
      <c r="V55" s="5">
        <v>0</v>
      </c>
    </row>
    <row r="56" spans="1:22" x14ac:dyDescent="0.25">
      <c r="A56" t="s">
        <v>71</v>
      </c>
      <c r="B56" s="8" t="s">
        <v>131</v>
      </c>
      <c r="C56" s="5">
        <v>0.84523898571321721</v>
      </c>
      <c r="D56" s="5">
        <v>0</v>
      </c>
      <c r="E56" s="5">
        <f t="shared" si="0"/>
        <v>31.254608208755862</v>
      </c>
      <c r="F56" s="5">
        <v>24.027868309415172</v>
      </c>
      <c r="G56" s="5">
        <v>24.439267815735764</v>
      </c>
      <c r="H56" s="5">
        <v>5.6153361187395143</v>
      </c>
      <c r="I56" s="5">
        <v>1.2000042742805852</v>
      </c>
      <c r="J56" s="5">
        <v>6.304563863094792E-2</v>
      </c>
      <c r="K56" s="5">
        <f t="shared" si="1"/>
        <v>36.197813705480698</v>
      </c>
      <c r="L56" s="5">
        <v>3.4098073368026243</v>
      </c>
      <c r="M56" s="5">
        <v>17.509590417062928</v>
      </c>
      <c r="N56" s="5">
        <v>15.278415951615143</v>
      </c>
      <c r="O56" s="5">
        <v>0.86661038863896223</v>
      </c>
      <c r="P56" s="5">
        <v>0.36972527061538957</v>
      </c>
      <c r="Q56" s="5">
        <f t="shared" si="2"/>
        <v>0.99056452560828345</v>
      </c>
      <c r="R56" s="5">
        <v>0.99056452560828345</v>
      </c>
      <c r="S56" s="5">
        <v>0</v>
      </c>
      <c r="T56" s="5">
        <f t="shared" si="3"/>
        <v>5.3845249671414681</v>
      </c>
      <c r="U56" s="5">
        <v>4.725217186882233</v>
      </c>
      <c r="V56" s="5">
        <v>0.65930778025923509</v>
      </c>
    </row>
    <row r="57" spans="1:22" x14ac:dyDescent="0.25">
      <c r="A57" t="s">
        <v>72</v>
      </c>
      <c r="B57" s="8" t="s">
        <v>151</v>
      </c>
      <c r="C57" s="5">
        <v>1.002004008016032</v>
      </c>
      <c r="D57" s="5">
        <v>0</v>
      </c>
      <c r="E57" s="5">
        <f t="shared" si="0"/>
        <v>2.0511611458210539</v>
      </c>
      <c r="F57" s="5">
        <v>4.1781041073744127</v>
      </c>
      <c r="G57" s="5">
        <v>1.9214900389013321</v>
      </c>
      <c r="H57" s="5">
        <v>0.11788282447247435</v>
      </c>
      <c r="I57" s="5">
        <v>1.1788282447247436E-2</v>
      </c>
      <c r="J57" s="5">
        <v>1.5156363146460988E-2</v>
      </c>
      <c r="K57" s="5">
        <f t="shared" si="1"/>
        <v>82.752058739327396</v>
      </c>
      <c r="L57" s="5">
        <v>2.8712887960795541</v>
      </c>
      <c r="M57" s="5">
        <v>45.868207002239778</v>
      </c>
      <c r="N57" s="5">
        <v>34.012562941008071</v>
      </c>
      <c r="O57" s="5">
        <v>4.2757784476516054</v>
      </c>
      <c r="P57" s="5">
        <v>1.3068153112948586</v>
      </c>
      <c r="Q57" s="5">
        <f t="shared" si="2"/>
        <v>0.19703272090399288</v>
      </c>
      <c r="R57" s="5">
        <v>0.19703272090399288</v>
      </c>
      <c r="S57" s="5">
        <v>0</v>
      </c>
      <c r="T57" s="5">
        <f t="shared" si="3"/>
        <v>4.2218891564641892</v>
      </c>
      <c r="U57" s="5">
        <v>4.1595796635287385</v>
      </c>
      <c r="V57" s="5">
        <v>6.2309492935450732E-2</v>
      </c>
    </row>
    <row r="58" spans="1:22" x14ac:dyDescent="0.25">
      <c r="A58" t="s">
        <v>73</v>
      </c>
      <c r="B58" s="8" t="s">
        <v>152</v>
      </c>
      <c r="C58" s="5">
        <v>1.8192676008275215</v>
      </c>
      <c r="D58" s="5">
        <v>0</v>
      </c>
      <c r="E58" s="5">
        <f t="shared" si="0"/>
        <v>45.462494934630072</v>
      </c>
      <c r="F58" s="5">
        <v>22.262034252564678</v>
      </c>
      <c r="G58" s="5">
        <v>26.331392496854139</v>
      </c>
      <c r="H58" s="5">
        <v>16.04282636978267</v>
      </c>
      <c r="I58" s="5">
        <v>3.0882760679932604</v>
      </c>
      <c r="J58" s="5">
        <v>0.71874933350395631</v>
      </c>
      <c r="K58" s="5">
        <f t="shared" si="1"/>
        <v>22.543562181414892</v>
      </c>
      <c r="L58" s="5">
        <v>2.6553202380190672</v>
      </c>
      <c r="M58" s="5">
        <v>5.3682257342120421</v>
      </c>
      <c r="N58" s="5">
        <v>14.520016209183783</v>
      </c>
      <c r="O58" s="5">
        <v>1.2135559963316058</v>
      </c>
      <c r="P58" s="5">
        <v>0.40096401987757796</v>
      </c>
      <c r="Q58" s="5">
        <f t="shared" si="2"/>
        <v>1.3287265126794208</v>
      </c>
      <c r="R58" s="5">
        <v>1.3287265126794208</v>
      </c>
      <c r="S58" s="5">
        <v>0</v>
      </c>
      <c r="T58" s="5">
        <f t="shared" si="3"/>
        <v>4.2506451681702817</v>
      </c>
      <c r="U58" s="5">
        <v>4.1120139910849485</v>
      </c>
      <c r="V58" s="5">
        <v>0.13863117708533282</v>
      </c>
    </row>
    <row r="59" spans="1:22" x14ac:dyDescent="0.25">
      <c r="A59" t="s">
        <v>74</v>
      </c>
      <c r="B59" s="8" t="s">
        <v>124</v>
      </c>
      <c r="C59" s="5">
        <v>0.17317845828933473</v>
      </c>
      <c r="D59" s="5">
        <v>0</v>
      </c>
      <c r="E59" s="5">
        <f t="shared" si="0"/>
        <v>75.417106652587108</v>
      </c>
      <c r="F59" s="5">
        <v>12.07180570221753</v>
      </c>
      <c r="G59" s="5">
        <v>30.910242872228089</v>
      </c>
      <c r="H59" s="5">
        <v>28.426610348468849</v>
      </c>
      <c r="I59" s="5">
        <v>16.080253431890178</v>
      </c>
      <c r="J59" s="5">
        <v>5.9134107708553325E-2</v>
      </c>
      <c r="K59" s="5">
        <f t="shared" si="1"/>
        <v>10.014783526927138</v>
      </c>
      <c r="L59" s="5">
        <v>0.38437170010559663</v>
      </c>
      <c r="M59" s="5">
        <v>8.2956705385427671</v>
      </c>
      <c r="N59" s="5">
        <v>1.334741288278775</v>
      </c>
      <c r="O59" s="5">
        <v>0.19007391763463569</v>
      </c>
      <c r="P59" s="5">
        <v>1.2671594508975714E-2</v>
      </c>
      <c r="Q59" s="5">
        <f t="shared" si="2"/>
        <v>0.24076029567053855</v>
      </c>
      <c r="R59" s="5">
        <v>0.24076029567053855</v>
      </c>
      <c r="S59" s="5">
        <v>0</v>
      </c>
      <c r="T59" s="5">
        <f t="shared" si="3"/>
        <v>1.8204857444561773</v>
      </c>
      <c r="U59" s="5">
        <v>1.6092925026399154</v>
      </c>
      <c r="V59" s="5">
        <v>0.21119324181626187</v>
      </c>
    </row>
    <row r="60" spans="1:22" x14ac:dyDescent="0.25">
      <c r="A60" t="s">
        <v>75</v>
      </c>
      <c r="B60" s="8" t="s">
        <v>129</v>
      </c>
      <c r="C60" s="5">
        <v>0.65765436609426375</v>
      </c>
      <c r="D60" s="5">
        <v>0</v>
      </c>
      <c r="E60" s="5">
        <f t="shared" si="0"/>
        <v>74.298704989242083</v>
      </c>
      <c r="F60" s="5">
        <v>13.802622498274673</v>
      </c>
      <c r="G60" s="5">
        <v>29.191193385566788</v>
      </c>
      <c r="H60" s="5">
        <v>33.697343671768223</v>
      </c>
      <c r="I60" s="5">
        <v>11.410167931907063</v>
      </c>
      <c r="J60" s="5">
        <v>7.9838698764529967E-2</v>
      </c>
      <c r="K60" s="5">
        <f t="shared" si="1"/>
        <v>6.6739739374010476</v>
      </c>
      <c r="L60" s="5">
        <v>1.384321844679901</v>
      </c>
      <c r="M60" s="5">
        <v>2.6143790849673203</v>
      </c>
      <c r="N60" s="5">
        <v>2.6752730077538263</v>
      </c>
      <c r="O60" s="5">
        <v>9.4723879890120294E-2</v>
      </c>
      <c r="P60" s="5">
        <v>5.6834327934072178E-2</v>
      </c>
      <c r="Q60" s="5">
        <f t="shared" si="2"/>
        <v>8.525149190110827E-2</v>
      </c>
      <c r="R60" s="5">
        <v>8.525149190110827E-2</v>
      </c>
      <c r="S60" s="5">
        <v>0</v>
      </c>
      <c r="T60" s="5">
        <f t="shared" si="3"/>
        <v>4.2503958104981123</v>
      </c>
      <c r="U60" s="5">
        <v>3.1664839848983073</v>
      </c>
      <c r="V60" s="5">
        <v>1.083911825599805</v>
      </c>
    </row>
    <row r="61" spans="1:22" x14ac:dyDescent="0.25">
      <c r="A61" t="s">
        <v>76</v>
      </c>
      <c r="B61" s="8" t="s">
        <v>117</v>
      </c>
      <c r="C61" s="5">
        <v>0.71439202262241408</v>
      </c>
      <c r="D61" s="5">
        <v>0</v>
      </c>
      <c r="E61" s="5">
        <f t="shared" si="0"/>
        <v>16.966810537282331</v>
      </c>
      <c r="F61" s="5">
        <v>10.641464503646377</v>
      </c>
      <c r="G61" s="5">
        <v>12.114898050305104</v>
      </c>
      <c r="H61" s="5">
        <v>3.9440392915612446</v>
      </c>
      <c r="I61" s="5">
        <v>0.90787319541598444</v>
      </c>
      <c r="J61" s="5">
        <v>0.95252269682988533</v>
      </c>
      <c r="K61" s="5">
        <f t="shared" si="1"/>
        <v>59.889864563179046</v>
      </c>
      <c r="L61" s="5">
        <v>5.5811876767376098</v>
      </c>
      <c r="M61" s="5">
        <v>24.170263432058341</v>
      </c>
      <c r="N61" s="5">
        <v>30.138413454383095</v>
      </c>
      <c r="O61" s="5">
        <v>2.4110730763506472</v>
      </c>
      <c r="P61" s="5">
        <v>2.0836433993153745</v>
      </c>
      <c r="Q61" s="5">
        <f t="shared" si="2"/>
        <v>0.16371483851763655</v>
      </c>
      <c r="R61" s="5">
        <v>0.16371483851763655</v>
      </c>
      <c r="S61" s="5">
        <v>0</v>
      </c>
      <c r="T61" s="5">
        <f t="shared" si="3"/>
        <v>6.1765143622562881</v>
      </c>
      <c r="U61" s="5">
        <v>5.6556035124274446</v>
      </c>
      <c r="V61" s="5">
        <v>0.52091084982884361</v>
      </c>
    </row>
    <row r="62" spans="1:22" x14ac:dyDescent="0.25">
      <c r="A62" t="s">
        <v>77</v>
      </c>
      <c r="B62" s="8" t="s">
        <v>117</v>
      </c>
      <c r="C62" s="5">
        <v>0.71535022354694489</v>
      </c>
      <c r="D62" s="5">
        <v>0</v>
      </c>
      <c r="E62" s="5">
        <f t="shared" si="0"/>
        <v>16.959761549925485</v>
      </c>
      <c r="F62" s="5">
        <v>10.551415797317437</v>
      </c>
      <c r="G62" s="5">
        <v>12.10134128166915</v>
      </c>
      <c r="H62" s="5">
        <v>3.9493293591654246</v>
      </c>
      <c r="I62" s="5">
        <v>0.90909090909090906</v>
      </c>
      <c r="J62" s="5">
        <v>0.95380029806259314</v>
      </c>
      <c r="K62" s="5">
        <f t="shared" si="1"/>
        <v>59.970193740685545</v>
      </c>
      <c r="L62" s="5">
        <v>5.5886736214605071</v>
      </c>
      <c r="M62" s="5">
        <v>24.2026825633383</v>
      </c>
      <c r="N62" s="5">
        <v>30.178837555886734</v>
      </c>
      <c r="O62" s="5">
        <v>2.4143070044709387</v>
      </c>
      <c r="P62" s="5">
        <v>2.0864381520119228</v>
      </c>
      <c r="Q62" s="5">
        <f t="shared" si="2"/>
        <v>0.16393442622950818</v>
      </c>
      <c r="R62" s="5">
        <v>0.16393442622950818</v>
      </c>
      <c r="S62" s="5">
        <v>0</v>
      </c>
      <c r="T62" s="5">
        <f t="shared" si="3"/>
        <v>6.1847988077496279</v>
      </c>
      <c r="U62" s="5">
        <v>5.6631892697466473</v>
      </c>
      <c r="V62" s="5">
        <v>0.52160953800298071</v>
      </c>
    </row>
    <row r="63" spans="1:22" x14ac:dyDescent="0.25">
      <c r="A63" t="s">
        <v>78</v>
      </c>
      <c r="B63" s="8" t="s">
        <v>153</v>
      </c>
      <c r="C63" s="5">
        <v>0.28074115665356542</v>
      </c>
      <c r="D63" s="5">
        <v>0</v>
      </c>
      <c r="E63" s="5">
        <f t="shared" si="0"/>
        <v>38.04978476511323</v>
      </c>
      <c r="F63" s="5">
        <v>25.9685569904548</v>
      </c>
      <c r="G63" s="5">
        <v>22.89912034437582</v>
      </c>
      <c r="H63" s="5">
        <v>11.566535654126895</v>
      </c>
      <c r="I63" s="5">
        <v>3.5841287666105184</v>
      </c>
      <c r="J63" s="5">
        <v>0.11229646266142618</v>
      </c>
      <c r="K63" s="5">
        <f t="shared" si="1"/>
        <v>27.222534156840727</v>
      </c>
      <c r="L63" s="5">
        <v>0.92644581695676587</v>
      </c>
      <c r="M63" s="5">
        <v>8.4035186224967244</v>
      </c>
      <c r="N63" s="5">
        <v>17.892569717387236</v>
      </c>
      <c r="O63" s="5">
        <v>1.0200262025079543</v>
      </c>
      <c r="P63" s="5">
        <v>8.4222346996069619E-2</v>
      </c>
      <c r="Q63" s="5">
        <f t="shared" si="2"/>
        <v>4.407636159460977</v>
      </c>
      <c r="R63" s="5">
        <v>4.407636159460977</v>
      </c>
      <c r="S63" s="5">
        <v>0</v>
      </c>
      <c r="T63" s="5">
        <f t="shared" si="3"/>
        <v>2.8542017593112488</v>
      </c>
      <c r="U63" s="5">
        <v>2.0774845592363844</v>
      </c>
      <c r="V63" s="5">
        <v>0.77671720007486433</v>
      </c>
    </row>
    <row r="64" spans="1:22" x14ac:dyDescent="0.25">
      <c r="A64" t="s">
        <v>79</v>
      </c>
      <c r="B64" s="8" t="s">
        <v>154</v>
      </c>
      <c r="C64" s="5">
        <v>1.8808384359783496E-2</v>
      </c>
      <c r="D64" s="5">
        <v>0</v>
      </c>
      <c r="E64" s="5">
        <f t="shared" si="0"/>
        <v>4.3886230172828153E-2</v>
      </c>
      <c r="F64" s="5">
        <v>9.1952101314497089E-2</v>
      </c>
      <c r="G64" s="5">
        <v>3.7616768719566991E-2</v>
      </c>
      <c r="H64" s="5">
        <v>6.2694614532611652E-3</v>
      </c>
      <c r="I64" s="5">
        <v>0</v>
      </c>
      <c r="J64" s="5">
        <v>8.3592819376815536E-3</v>
      </c>
      <c r="K64" s="5">
        <f t="shared" si="1"/>
        <v>79.726651480637813</v>
      </c>
      <c r="L64" s="5">
        <v>1.3228563666381059</v>
      </c>
      <c r="M64" s="5">
        <v>56.268416543018951</v>
      </c>
      <c r="N64" s="5">
        <v>22.135378570980752</v>
      </c>
      <c r="O64" s="5">
        <v>12.1669348602955</v>
      </c>
      <c r="P64" s="5">
        <v>2.0375749723098786</v>
      </c>
      <c r="Q64" s="5">
        <f t="shared" si="2"/>
        <v>4.1796409688407768E-3</v>
      </c>
      <c r="R64" s="5">
        <v>4.1796409688407768E-3</v>
      </c>
      <c r="S64" s="5">
        <v>0</v>
      </c>
      <c r="T64" s="5">
        <f t="shared" si="3"/>
        <v>5.901653048003177</v>
      </c>
      <c r="U64" s="5">
        <v>5.8243296900796224</v>
      </c>
      <c r="V64" s="5">
        <v>7.7323357923554367E-2</v>
      </c>
    </row>
    <row r="65" spans="1:22" x14ac:dyDescent="0.25">
      <c r="A65" t="s">
        <v>80</v>
      </c>
      <c r="B65" s="8" t="s">
        <v>155</v>
      </c>
      <c r="C65" s="5">
        <v>1.7832003754106054</v>
      </c>
      <c r="D65" s="5">
        <v>0</v>
      </c>
      <c r="E65" s="5">
        <f t="shared" si="0"/>
        <v>9.1932938014589816</v>
      </c>
      <c r="F65" s="5">
        <v>10.170214581289194</v>
      </c>
      <c r="G65" s="5">
        <v>8.728296574378227</v>
      </c>
      <c r="H65" s="5">
        <v>0.40100678298707387</v>
      </c>
      <c r="I65" s="5">
        <v>6.3990444093682014E-2</v>
      </c>
      <c r="J65" s="5">
        <v>4.2660296062454672E-3</v>
      </c>
      <c r="K65" s="5">
        <f t="shared" si="1"/>
        <v>64.084296745019415</v>
      </c>
      <c r="L65" s="5">
        <v>2.7814513032720445</v>
      </c>
      <c r="M65" s="5">
        <v>19.06062028070475</v>
      </c>
      <c r="N65" s="5">
        <v>42.242225161042619</v>
      </c>
      <c r="O65" s="5">
        <v>8.9117358474467814</v>
      </c>
      <c r="P65" s="5">
        <v>1.1176997568363125</v>
      </c>
      <c r="Q65" s="5">
        <f t="shared" si="2"/>
        <v>0.16637515464357325</v>
      </c>
      <c r="R65" s="5">
        <v>0.16637515464357325</v>
      </c>
      <c r="S65" s="5">
        <v>0</v>
      </c>
      <c r="T65" s="5">
        <f t="shared" si="3"/>
        <v>4.5689177082888959</v>
      </c>
      <c r="U65" s="5">
        <v>4.2873597542766948</v>
      </c>
      <c r="V65" s="5">
        <v>0.28155795401220085</v>
      </c>
    </row>
    <row r="66" spans="1:22" x14ac:dyDescent="0.25">
      <c r="A66" t="s">
        <v>81</v>
      </c>
      <c r="B66" s="8" t="s">
        <v>150</v>
      </c>
      <c r="C66" s="5">
        <v>1.5850372483753369E-2</v>
      </c>
      <c r="D66" s="5">
        <v>0</v>
      </c>
      <c r="E66" s="5">
        <f t="shared" si="0"/>
        <v>88.968140751307658</v>
      </c>
      <c r="F66" s="5">
        <v>6.0231415438262799</v>
      </c>
      <c r="G66" s="5">
        <v>23.204945316214932</v>
      </c>
      <c r="H66" s="5">
        <v>55.618957045490568</v>
      </c>
      <c r="I66" s="5">
        <v>10.144238389602156</v>
      </c>
      <c r="J66" s="5">
        <v>1.5850372483753369E-2</v>
      </c>
      <c r="K66" s="5">
        <f t="shared" si="1"/>
        <v>4.0101442383896018</v>
      </c>
      <c r="L66" s="5">
        <v>3.8674908860358217</v>
      </c>
      <c r="M66" s="5">
        <v>3.1700744967506737E-2</v>
      </c>
      <c r="N66" s="5">
        <v>0.11095260738627358</v>
      </c>
      <c r="O66" s="5">
        <v>0.30115707719131402</v>
      </c>
      <c r="P66" s="5">
        <v>0</v>
      </c>
      <c r="Q66" s="5">
        <f t="shared" si="2"/>
        <v>0.34870819464257413</v>
      </c>
      <c r="R66" s="5">
        <v>0.34870819464257413</v>
      </c>
      <c r="S66" s="5">
        <v>0</v>
      </c>
      <c r="T66" s="5">
        <f t="shared" si="3"/>
        <v>0.31700744967506739</v>
      </c>
      <c r="U66" s="5">
        <v>0.31700744967506739</v>
      </c>
      <c r="V66" s="5">
        <v>0</v>
      </c>
    </row>
    <row r="67" spans="1:22" x14ac:dyDescent="0.25">
      <c r="A67" t="s">
        <v>82</v>
      </c>
      <c r="B67" s="8" t="s">
        <v>131</v>
      </c>
      <c r="C67" s="5">
        <v>0.73615271361120982</v>
      </c>
      <c r="D67" s="5">
        <v>0</v>
      </c>
      <c r="E67" s="5">
        <f t="shared" ref="E67:E94" si="4">SUM(G67:I67)</f>
        <v>22.241965781591105</v>
      </c>
      <c r="F67" s="5">
        <v>21.569274508808448</v>
      </c>
      <c r="G67" s="5">
        <v>18.680509722292733</v>
      </c>
      <c r="H67" s="5">
        <v>2.962380057876834</v>
      </c>
      <c r="I67" s="5">
        <v>0.59907600142153627</v>
      </c>
      <c r="J67" s="5">
        <v>5.8384525562268363E-2</v>
      </c>
      <c r="K67" s="5">
        <f t="shared" ref="K67:K94" si="5">SUM(L67:N67)</f>
        <v>46.527389957861601</v>
      </c>
      <c r="L67" s="5">
        <v>3.5766868050972227</v>
      </c>
      <c r="M67" s="5">
        <v>19.589277554957608</v>
      </c>
      <c r="N67" s="5">
        <v>23.361425597806772</v>
      </c>
      <c r="O67" s="5">
        <v>1.4748438848555616</v>
      </c>
      <c r="P67" s="5">
        <v>0.61938366248667309</v>
      </c>
      <c r="Q67" s="5">
        <f t="shared" ref="Q67:Q94" si="6">SUM(R67:S67)</f>
        <v>0.32238411940904704</v>
      </c>
      <c r="R67" s="5">
        <v>0.32238411940904704</v>
      </c>
      <c r="S67" s="5">
        <v>0</v>
      </c>
      <c r="T67" s="5">
        <f t="shared" ref="T67:T94" si="7">SUM(U67:V67)</f>
        <v>6.4502208458140835</v>
      </c>
      <c r="U67" s="5">
        <v>5.891760166522821</v>
      </c>
      <c r="V67" s="5">
        <v>0.55846067929126264</v>
      </c>
    </row>
    <row r="68" spans="1:22" x14ac:dyDescent="0.25">
      <c r="A68" t="s">
        <v>83</v>
      </c>
      <c r="B68" s="8" t="s">
        <v>156</v>
      </c>
      <c r="C68" s="5">
        <v>1.3709898546750754E-2</v>
      </c>
      <c r="D68" s="5">
        <v>0</v>
      </c>
      <c r="E68" s="5">
        <f t="shared" si="4"/>
        <v>86.550589525637534</v>
      </c>
      <c r="F68" s="5">
        <v>3.1944063613929257</v>
      </c>
      <c r="G68" s="5">
        <v>22.49794351521799</v>
      </c>
      <c r="H68" s="5">
        <v>53.276665752673438</v>
      </c>
      <c r="I68" s="5">
        <v>10.775980257746093</v>
      </c>
      <c r="J68" s="5">
        <v>5.4839594187003016E-2</v>
      </c>
      <c r="K68" s="5">
        <f t="shared" si="5"/>
        <v>8.4178777077049638</v>
      </c>
      <c r="L68" s="5">
        <v>4.483136824787497</v>
      </c>
      <c r="M68" s="5">
        <v>0.57581573896353166</v>
      </c>
      <c r="N68" s="5">
        <v>3.3589251439539352</v>
      </c>
      <c r="O68" s="5">
        <v>4.1129695640252262E-2</v>
      </c>
      <c r="P68" s="5">
        <v>4.1129695640252262E-2</v>
      </c>
      <c r="Q68" s="5">
        <f t="shared" si="6"/>
        <v>0</v>
      </c>
      <c r="R68" s="5">
        <v>0</v>
      </c>
      <c r="S68" s="5">
        <v>0</v>
      </c>
      <c r="T68" s="5">
        <f t="shared" si="7"/>
        <v>1.686317521250343</v>
      </c>
      <c r="U68" s="5">
        <v>1.686317521250343</v>
      </c>
      <c r="V68" s="5">
        <v>0</v>
      </c>
    </row>
    <row r="69" spans="1:22" x14ac:dyDescent="0.25">
      <c r="A69" t="s">
        <v>84</v>
      </c>
      <c r="B69" s="8" t="s">
        <v>156</v>
      </c>
      <c r="C69" s="5">
        <v>2.0729684908789386E-2</v>
      </c>
      <c r="D69" s="5">
        <v>0</v>
      </c>
      <c r="E69" s="5">
        <f t="shared" si="4"/>
        <v>91.231343283582106</v>
      </c>
      <c r="F69" s="5">
        <v>2.7363184079601992</v>
      </c>
      <c r="G69" s="5">
        <v>20.833333333333336</v>
      </c>
      <c r="H69" s="5">
        <v>56.571310116086238</v>
      </c>
      <c r="I69" s="5">
        <v>13.82669983416252</v>
      </c>
      <c r="J69" s="5">
        <v>6.2189054726368161E-2</v>
      </c>
      <c r="K69" s="5">
        <f t="shared" si="5"/>
        <v>4.8922056384742945</v>
      </c>
      <c r="L69" s="5">
        <v>3.565505804311774</v>
      </c>
      <c r="M69" s="5">
        <v>0.29021558872305137</v>
      </c>
      <c r="N69" s="5">
        <v>1.0364842454394694</v>
      </c>
      <c r="O69" s="5">
        <v>6.2189054726368161E-2</v>
      </c>
      <c r="P69" s="5">
        <v>6.2189054726368161E-2</v>
      </c>
      <c r="Q69" s="5">
        <f t="shared" si="6"/>
        <v>0</v>
      </c>
      <c r="R69" s="5">
        <v>0</v>
      </c>
      <c r="S69" s="5">
        <v>0</v>
      </c>
      <c r="T69" s="5">
        <f t="shared" si="7"/>
        <v>0.93283582089552231</v>
      </c>
      <c r="U69" s="5">
        <v>0.93283582089552231</v>
      </c>
      <c r="V69" s="5">
        <v>0</v>
      </c>
    </row>
    <row r="70" spans="1:22" x14ac:dyDescent="0.25">
      <c r="A70" t="s">
        <v>85</v>
      </c>
      <c r="B70" s="8" t="s">
        <v>156</v>
      </c>
      <c r="C70" s="5">
        <v>1.9984012789768184E-2</v>
      </c>
      <c r="D70" s="5">
        <v>0</v>
      </c>
      <c r="E70" s="5">
        <f t="shared" si="4"/>
        <v>90.027977617905677</v>
      </c>
      <c r="F70" s="5">
        <v>2.877697841726619</v>
      </c>
      <c r="G70" s="5">
        <v>20.883293365307754</v>
      </c>
      <c r="H70" s="5">
        <v>55.775379696243007</v>
      </c>
      <c r="I70" s="5">
        <v>13.369304556354916</v>
      </c>
      <c r="J70" s="5">
        <v>5.9952038369304551E-2</v>
      </c>
      <c r="K70" s="5">
        <f t="shared" si="5"/>
        <v>5.8952837729816148</v>
      </c>
      <c r="L70" s="5">
        <v>3.8968824940047964</v>
      </c>
      <c r="M70" s="5">
        <v>0.27977617905675461</v>
      </c>
      <c r="N70" s="5">
        <v>1.7186250999200638</v>
      </c>
      <c r="O70" s="5">
        <v>5.9952038369304551E-2</v>
      </c>
      <c r="P70" s="5">
        <v>5.9952038369304551E-2</v>
      </c>
      <c r="Q70" s="5">
        <f t="shared" si="6"/>
        <v>0</v>
      </c>
      <c r="R70" s="5">
        <v>0</v>
      </c>
      <c r="S70" s="5">
        <v>0</v>
      </c>
      <c r="T70" s="5">
        <f t="shared" si="7"/>
        <v>0.9992006394884092</v>
      </c>
      <c r="U70" s="5">
        <v>0.9992006394884092</v>
      </c>
      <c r="V70" s="5">
        <v>0</v>
      </c>
    </row>
    <row r="71" spans="1:22" x14ac:dyDescent="0.25">
      <c r="A71" t="s">
        <v>86</v>
      </c>
      <c r="B71" s="8" t="s">
        <v>157</v>
      </c>
      <c r="C71" s="5">
        <v>0</v>
      </c>
      <c r="D71" s="5">
        <v>0</v>
      </c>
      <c r="E71" s="5">
        <f t="shared" si="4"/>
        <v>90.097932535364521</v>
      </c>
      <c r="F71" s="5">
        <v>1.9042437431991295</v>
      </c>
      <c r="G71" s="5">
        <v>27.20348204570185</v>
      </c>
      <c r="H71" s="5">
        <v>56.583242655059848</v>
      </c>
      <c r="I71" s="5">
        <v>6.3112078346028291</v>
      </c>
      <c r="J71" s="5">
        <v>0</v>
      </c>
      <c r="K71" s="5">
        <f t="shared" si="5"/>
        <v>5.3862894450489662</v>
      </c>
      <c r="L71" s="5">
        <v>0.32644178454842221</v>
      </c>
      <c r="M71" s="5">
        <v>1.2513601741022851</v>
      </c>
      <c r="N71" s="5">
        <v>3.808487486398259</v>
      </c>
      <c r="O71" s="5">
        <v>0</v>
      </c>
      <c r="P71" s="5">
        <v>0</v>
      </c>
      <c r="Q71" s="5">
        <f t="shared" si="6"/>
        <v>0</v>
      </c>
      <c r="R71" s="5">
        <v>0</v>
      </c>
      <c r="S71" s="5">
        <v>0</v>
      </c>
      <c r="T71" s="5">
        <f t="shared" si="7"/>
        <v>2.6115342763873777</v>
      </c>
      <c r="U71" s="5">
        <v>2.6115342763873777</v>
      </c>
      <c r="V71" s="5">
        <v>0</v>
      </c>
    </row>
    <row r="72" spans="1:22" x14ac:dyDescent="0.25">
      <c r="A72" t="s">
        <v>87</v>
      </c>
      <c r="B72" s="8" t="s">
        <v>158</v>
      </c>
      <c r="C72" s="5">
        <v>1.62321193060769</v>
      </c>
      <c r="D72" s="5">
        <v>0</v>
      </c>
      <c r="E72" s="5">
        <f t="shared" si="4"/>
        <v>13.640052754387746</v>
      </c>
      <c r="F72" s="5">
        <v>8.0399715937912148</v>
      </c>
      <c r="G72" s="5">
        <v>7.8573602515978491</v>
      </c>
      <c r="H72" s="5">
        <v>5.0776098204321798</v>
      </c>
      <c r="I72" s="5">
        <v>0.70508268235771532</v>
      </c>
      <c r="J72" s="5">
        <v>3.0080146089073754</v>
      </c>
      <c r="K72" s="5">
        <f t="shared" si="5"/>
        <v>51.55219640864361</v>
      </c>
      <c r="L72" s="5">
        <v>2.4804707314598762</v>
      </c>
      <c r="M72" s="5">
        <v>19.559703763822665</v>
      </c>
      <c r="N72" s="5">
        <v>29.512021913361064</v>
      </c>
      <c r="O72" s="5">
        <v>6.2798011565385004</v>
      </c>
      <c r="P72" s="5">
        <v>4.7681850461600899</v>
      </c>
      <c r="Q72" s="5">
        <f t="shared" si="6"/>
        <v>2.637719387237496</v>
      </c>
      <c r="R72" s="5">
        <v>2.637719387237496</v>
      </c>
      <c r="S72" s="5">
        <v>0</v>
      </c>
      <c r="T72" s="5">
        <f t="shared" si="7"/>
        <v>8.4508471137262848</v>
      </c>
      <c r="U72" s="5">
        <v>8.1008420411890025</v>
      </c>
      <c r="V72" s="5">
        <v>0.35000507253728314</v>
      </c>
    </row>
    <row r="73" spans="1:22" x14ac:dyDescent="0.25">
      <c r="A73" t="s">
        <v>88</v>
      </c>
      <c r="B73" s="8" t="s">
        <v>159</v>
      </c>
      <c r="C73" s="5">
        <v>1.0253191044151497</v>
      </c>
      <c r="D73" s="5">
        <v>0</v>
      </c>
      <c r="E73" s="5">
        <f t="shared" si="4"/>
        <v>8.6210504289600323</v>
      </c>
      <c r="F73" s="5">
        <v>2.9504080351537976</v>
      </c>
      <c r="G73" s="5">
        <v>4.666248169073028</v>
      </c>
      <c r="H73" s="5">
        <v>3.536304666248169</v>
      </c>
      <c r="I73" s="5">
        <v>0.4184975936388366</v>
      </c>
      <c r="J73" s="5">
        <v>0.59635907093534213</v>
      </c>
      <c r="K73" s="5">
        <f t="shared" si="5"/>
        <v>60.451977401129938</v>
      </c>
      <c r="L73" s="5">
        <v>1.1090186231429169</v>
      </c>
      <c r="M73" s="5">
        <v>35.844318895166353</v>
      </c>
      <c r="N73" s="5">
        <v>23.498639882820672</v>
      </c>
      <c r="O73" s="5">
        <v>18.361581920903955</v>
      </c>
      <c r="P73" s="5">
        <v>1.3391922996442771</v>
      </c>
      <c r="Q73" s="5">
        <f t="shared" si="6"/>
        <v>1.360117179326219</v>
      </c>
      <c r="R73" s="5">
        <v>1.360117179326219</v>
      </c>
      <c r="S73" s="5">
        <v>0</v>
      </c>
      <c r="T73" s="5">
        <f t="shared" si="7"/>
        <v>5.2939945595312823</v>
      </c>
      <c r="U73" s="5">
        <v>5.1161330822347768</v>
      </c>
      <c r="V73" s="5">
        <v>0.17786147729650553</v>
      </c>
    </row>
    <row r="74" spans="1:22" ht="26.25" x14ac:dyDescent="0.25">
      <c r="A74" t="s">
        <v>89</v>
      </c>
      <c r="B74" s="8" t="s">
        <v>160</v>
      </c>
      <c r="C74" s="5">
        <v>1.7132066113350533</v>
      </c>
      <c r="D74" s="5">
        <v>0.231327613158435</v>
      </c>
      <c r="E74" s="5">
        <f t="shared" si="4"/>
        <v>0.39760703983998147</v>
      </c>
      <c r="F74" s="5">
        <v>0.81025647280274349</v>
      </c>
      <c r="G74" s="5">
        <v>0.28539891816734864</v>
      </c>
      <c r="H74" s="5">
        <v>9.0660909902163453E-2</v>
      </c>
      <c r="I74" s="5">
        <v>2.1547211770469345E-2</v>
      </c>
      <c r="J74" s="5">
        <v>4.3620907300236</v>
      </c>
      <c r="K74" s="5">
        <f t="shared" si="5"/>
        <v>82.602862526756155</v>
      </c>
      <c r="L74" s="5">
        <v>1.46134816431985</v>
      </c>
      <c r="M74" s="5">
        <v>73.897992247069283</v>
      </c>
      <c r="N74" s="5">
        <v>7.243522115367024</v>
      </c>
      <c r="O74" s="5">
        <v>6.8003813449932213</v>
      </c>
      <c r="P74" s="5">
        <v>2.6230681196805321</v>
      </c>
      <c r="Q74" s="5">
        <f t="shared" si="6"/>
        <v>5.8543367829199722E-2</v>
      </c>
      <c r="R74" s="5">
        <v>5.8543367829199722E-2</v>
      </c>
      <c r="S74" s="5">
        <v>0</v>
      </c>
      <c r="T74" s="5">
        <f t="shared" si="7"/>
        <v>0.40065617358108557</v>
      </c>
      <c r="U74" s="5">
        <v>0.37158776524922599</v>
      </c>
      <c r="V74" s="5">
        <v>2.9068408331859589E-2</v>
      </c>
    </row>
    <row r="75" spans="1:22" ht="26.25" x14ac:dyDescent="0.25">
      <c r="A75" t="s">
        <v>90</v>
      </c>
      <c r="B75" s="8" t="s">
        <v>161</v>
      </c>
      <c r="C75" s="5">
        <v>1.5893779841716267</v>
      </c>
      <c r="D75" s="5">
        <v>0</v>
      </c>
      <c r="E75" s="5">
        <f t="shared" si="4"/>
        <v>34.976126626986726</v>
      </c>
      <c r="F75" s="5">
        <v>24.89044411014455</v>
      </c>
      <c r="G75" s="5">
        <v>27.366080188370724</v>
      </c>
      <c r="H75" s="5">
        <v>5.5889855451631894</v>
      </c>
      <c r="I75" s="5">
        <v>2.0210608934528094</v>
      </c>
      <c r="J75" s="5">
        <v>2.9432925632807902E-2</v>
      </c>
      <c r="K75" s="5">
        <f t="shared" si="5"/>
        <v>32.873307606776109</v>
      </c>
      <c r="L75" s="5">
        <v>3.0937275165151417</v>
      </c>
      <c r="M75" s="5">
        <v>20.913728824645169</v>
      </c>
      <c r="N75" s="5">
        <v>8.8658512656158024</v>
      </c>
      <c r="O75" s="5">
        <v>0.46111583491399044</v>
      </c>
      <c r="P75" s="5">
        <v>9.8109752109359669E-2</v>
      </c>
      <c r="Q75" s="5">
        <f t="shared" si="6"/>
        <v>0.30086990646870299</v>
      </c>
      <c r="R75" s="5">
        <v>0.30086990646870299</v>
      </c>
      <c r="S75" s="5">
        <v>0</v>
      </c>
      <c r="T75" s="5">
        <f t="shared" si="7"/>
        <v>4.7812152527961276</v>
      </c>
      <c r="U75" s="5">
        <v>4.2383412911243372</v>
      </c>
      <c r="V75" s="5">
        <v>0.54287396167179014</v>
      </c>
    </row>
    <row r="76" spans="1:22" ht="26.25" x14ac:dyDescent="0.25">
      <c r="A76" t="s">
        <v>91</v>
      </c>
      <c r="B76" s="8" t="s">
        <v>161</v>
      </c>
      <c r="C76" s="5">
        <v>1.6107115633181985</v>
      </c>
      <c r="D76" s="5">
        <v>0</v>
      </c>
      <c r="E76" s="5">
        <f t="shared" si="4"/>
        <v>34.902064759884667</v>
      </c>
      <c r="F76" s="5">
        <v>24.999171444669074</v>
      </c>
      <c r="G76" s="5">
        <v>27.285984158022075</v>
      </c>
      <c r="H76" s="5">
        <v>5.5778344877870945</v>
      </c>
      <c r="I76" s="5">
        <v>2.0382461140754979</v>
      </c>
      <c r="J76" s="5">
        <v>2.9827991913299972E-2</v>
      </c>
      <c r="K76" s="5">
        <f t="shared" si="5"/>
        <v>33.069300367878569</v>
      </c>
      <c r="L76" s="5">
        <v>3.1352533722201965</v>
      </c>
      <c r="M76" s="5">
        <v>20.949192987107679</v>
      </c>
      <c r="N76" s="5">
        <v>8.9848540085506912</v>
      </c>
      <c r="O76" s="5">
        <v>0.46730520664169956</v>
      </c>
      <c r="P76" s="5">
        <v>9.9426639710999895E-2</v>
      </c>
      <c r="Q76" s="5">
        <f t="shared" si="6"/>
        <v>0.30490836178039971</v>
      </c>
      <c r="R76" s="5">
        <v>0.30490836178039971</v>
      </c>
      <c r="S76" s="5">
        <v>0</v>
      </c>
      <c r="T76" s="5">
        <f t="shared" si="7"/>
        <v>4.5172836642030951</v>
      </c>
      <c r="U76" s="5">
        <v>3.9671229244688959</v>
      </c>
      <c r="V76" s="5">
        <v>0.55016073973419943</v>
      </c>
    </row>
    <row r="77" spans="1:22" ht="26.25" x14ac:dyDescent="0.25">
      <c r="A77" t="s">
        <v>92</v>
      </c>
      <c r="B77" s="8" t="s">
        <v>162</v>
      </c>
      <c r="C77" s="5">
        <v>1.5282362898793125</v>
      </c>
      <c r="D77" s="5">
        <v>0</v>
      </c>
      <c r="E77" s="5">
        <f t="shared" si="4"/>
        <v>0.43938479384658963</v>
      </c>
      <c r="F77" s="5">
        <v>0.96745585076428664</v>
      </c>
      <c r="G77" s="5">
        <v>0.34968690039824518</v>
      </c>
      <c r="H77" s="5">
        <v>8.126764030470307E-2</v>
      </c>
      <c r="I77" s="5">
        <v>8.4302531436413961E-3</v>
      </c>
      <c r="J77" s="5">
        <v>0.74523437789789948</v>
      </c>
      <c r="K77" s="5">
        <f t="shared" si="5"/>
        <v>81.16681447710512</v>
      </c>
      <c r="L77" s="5">
        <v>0.49367562409164018</v>
      </c>
      <c r="M77" s="5">
        <v>77.304746906940125</v>
      </c>
      <c r="N77" s="5">
        <v>3.3683919460733569</v>
      </c>
      <c r="O77" s="5">
        <v>10.469699984151124</v>
      </c>
      <c r="P77" s="5">
        <v>3.5390202697006585</v>
      </c>
      <c r="Q77" s="5">
        <f t="shared" si="6"/>
        <v>6.3732713765928956E-2</v>
      </c>
      <c r="R77" s="5">
        <v>6.3732713765928956E-2</v>
      </c>
      <c r="S77" s="5">
        <v>0</v>
      </c>
      <c r="T77" s="5">
        <f t="shared" si="7"/>
        <v>1.0804212428890816</v>
      </c>
      <c r="U77" s="5">
        <v>1.0568165340868856</v>
      </c>
      <c r="V77" s="5">
        <v>2.3604708802195912E-2</v>
      </c>
    </row>
    <row r="78" spans="1:22" x14ac:dyDescent="0.25">
      <c r="A78" t="s">
        <v>93</v>
      </c>
      <c r="B78" s="8" t="s">
        <v>163</v>
      </c>
      <c r="C78" s="5">
        <v>5.2778534459275397E-2</v>
      </c>
      <c r="D78" s="5">
        <v>0</v>
      </c>
      <c r="E78" s="5">
        <f t="shared" si="4"/>
        <v>14.21274856987197</v>
      </c>
      <c r="F78" s="5">
        <v>10.543789158267503</v>
      </c>
      <c r="G78" s="5">
        <v>10.962612367202397</v>
      </c>
      <c r="H78" s="5">
        <v>3.0492372650503952</v>
      </c>
      <c r="I78" s="5">
        <v>0.20089893761917735</v>
      </c>
      <c r="J78" s="5">
        <v>8.3424135113048206E-2</v>
      </c>
      <c r="K78" s="5">
        <f t="shared" si="5"/>
        <v>58.691432852083899</v>
      </c>
      <c r="L78" s="5">
        <v>8.4037047126123667</v>
      </c>
      <c r="M78" s="5">
        <v>8.178970307818032</v>
      </c>
      <c r="N78" s="5">
        <v>42.108757831653499</v>
      </c>
      <c r="O78" s="5">
        <v>1.7655271043312448</v>
      </c>
      <c r="P78" s="5">
        <v>0.89723508580768185</v>
      </c>
      <c r="Q78" s="5">
        <f t="shared" si="6"/>
        <v>8.0138245709615923</v>
      </c>
      <c r="R78" s="5">
        <v>7.8197357668210303</v>
      </c>
      <c r="S78" s="5">
        <v>0.19408880414056115</v>
      </c>
      <c r="T78" s="5">
        <f t="shared" si="7"/>
        <v>5.7392399891037869</v>
      </c>
      <c r="U78" s="5">
        <v>3.1667120675565243</v>
      </c>
      <c r="V78" s="5">
        <v>2.5725279215472621</v>
      </c>
    </row>
    <row r="79" spans="1:22" x14ac:dyDescent="0.25">
      <c r="A79" t="s">
        <v>94</v>
      </c>
      <c r="B79" s="8" t="s">
        <v>164</v>
      </c>
      <c r="C79" s="5">
        <v>0.26468974273448176</v>
      </c>
      <c r="D79" s="5">
        <v>0</v>
      </c>
      <c r="E79" s="5">
        <f t="shared" si="4"/>
        <v>3.4398906809843015</v>
      </c>
      <c r="F79" s="5">
        <v>2.9686138219692486</v>
      </c>
      <c r="G79" s="5">
        <v>1.9851730705086132</v>
      </c>
      <c r="H79" s="5">
        <v>1.3008532478292212</v>
      </c>
      <c r="I79" s="5">
        <v>0.15386436264646705</v>
      </c>
      <c r="J79" s="5">
        <v>0.10544550726820819</v>
      </c>
      <c r="K79" s="5">
        <f t="shared" si="5"/>
        <v>86.437340621267708</v>
      </c>
      <c r="L79" s="5">
        <v>1.9959328161482264</v>
      </c>
      <c r="M79" s="5">
        <v>58.665361150862395</v>
      </c>
      <c r="N79" s="5">
        <v>25.776046654257094</v>
      </c>
      <c r="O79" s="5">
        <v>3.0643755581618048</v>
      </c>
      <c r="P79" s="5">
        <v>2.977221618480939</v>
      </c>
      <c r="Q79" s="5">
        <f t="shared" si="6"/>
        <v>5.0570804506181476E-2</v>
      </c>
      <c r="R79" s="5">
        <v>5.0570804506181476E-2</v>
      </c>
      <c r="S79" s="5">
        <v>0</v>
      </c>
      <c r="T79" s="5">
        <f t="shared" si="7"/>
        <v>0.69185164462712112</v>
      </c>
      <c r="U79" s="5">
        <v>0.69077567006315976</v>
      </c>
      <c r="V79" s="5">
        <v>1.0759745639613079E-3</v>
      </c>
    </row>
    <row r="80" spans="1:22" x14ac:dyDescent="0.25">
      <c r="A80" t="s">
        <v>95</v>
      </c>
      <c r="B80" s="8" t="s">
        <v>130</v>
      </c>
      <c r="C80" s="5">
        <v>6.8497415779313786E-2</v>
      </c>
      <c r="D80" s="5">
        <v>0</v>
      </c>
      <c r="E80" s="5">
        <f t="shared" si="4"/>
        <v>36.876517840463293</v>
      </c>
      <c r="F80" s="5">
        <v>28.090167507316771</v>
      </c>
      <c r="G80" s="5">
        <v>23.725014010835046</v>
      </c>
      <c r="H80" s="5">
        <v>11.700604022666418</v>
      </c>
      <c r="I80" s="5">
        <v>1.4508998069618282</v>
      </c>
      <c r="J80" s="5">
        <v>7.4724453577433209E-2</v>
      </c>
      <c r="K80" s="5">
        <f t="shared" si="5"/>
        <v>29.117628744006481</v>
      </c>
      <c r="L80" s="5">
        <v>2.42231770346846</v>
      </c>
      <c r="M80" s="5">
        <v>13.917429478796937</v>
      </c>
      <c r="N80" s="5">
        <v>12.777881561741081</v>
      </c>
      <c r="O80" s="5">
        <v>0.66006600660066006</v>
      </c>
      <c r="P80" s="5">
        <v>0.39230338128152442</v>
      </c>
      <c r="Q80" s="5">
        <f t="shared" si="6"/>
        <v>0.18681113394358304</v>
      </c>
      <c r="R80" s="5">
        <v>0.18681113394358304</v>
      </c>
      <c r="S80" s="5">
        <v>0</v>
      </c>
      <c r="T80" s="5">
        <f t="shared" si="7"/>
        <v>4.5332835170309487</v>
      </c>
      <c r="U80" s="5">
        <v>4.4585590634535155</v>
      </c>
      <c r="V80" s="5">
        <v>7.4724453577433209E-2</v>
      </c>
    </row>
    <row r="81" spans="1:22" x14ac:dyDescent="0.25">
      <c r="A81" t="s">
        <v>96</v>
      </c>
      <c r="B81" s="8" t="s">
        <v>146</v>
      </c>
      <c r="C81" s="5">
        <v>8.0974640214950863E-2</v>
      </c>
      <c r="D81" s="5">
        <v>0</v>
      </c>
      <c r="E81" s="5">
        <f t="shared" si="4"/>
        <v>33.73697964591998</v>
      </c>
      <c r="F81" s="5">
        <v>23.670359601015864</v>
      </c>
      <c r="G81" s="5">
        <v>24.68254260370275</v>
      </c>
      <c r="H81" s="5">
        <v>7.9649600647797119</v>
      </c>
      <c r="I81" s="5">
        <v>1.0894769774375206</v>
      </c>
      <c r="J81" s="5">
        <v>4.7848651036107331E-2</v>
      </c>
      <c r="K81" s="5">
        <f t="shared" si="5"/>
        <v>34.528322720747909</v>
      </c>
      <c r="L81" s="5">
        <v>4.6670838087526221</v>
      </c>
      <c r="M81" s="5">
        <v>9.1022856932533394</v>
      </c>
      <c r="N81" s="5">
        <v>20.758953218741951</v>
      </c>
      <c r="O81" s="5">
        <v>1.0085023372225699</v>
      </c>
      <c r="P81" s="5">
        <v>0.43063785932496601</v>
      </c>
      <c r="Q81" s="5">
        <f t="shared" si="6"/>
        <v>0.59626780521918366</v>
      </c>
      <c r="R81" s="5">
        <v>0.59626780521918366</v>
      </c>
      <c r="S81" s="5">
        <v>0</v>
      </c>
      <c r="T81" s="5">
        <f t="shared" si="7"/>
        <v>5.9001067392984652</v>
      </c>
      <c r="U81" s="5">
        <v>4.4462438808936655</v>
      </c>
      <c r="V81" s="5">
        <v>1.4538628584047995</v>
      </c>
    </row>
    <row r="82" spans="1:22" ht="26.25" x14ac:dyDescent="0.25">
      <c r="A82" t="s">
        <v>97</v>
      </c>
      <c r="B82" s="8" t="s">
        <v>165</v>
      </c>
      <c r="C82" s="5">
        <v>0.63006189504181209</v>
      </c>
      <c r="D82" s="5">
        <v>4.9384341871337332E-3</v>
      </c>
      <c r="E82" s="5">
        <f t="shared" si="4"/>
        <v>5.0075722657536046</v>
      </c>
      <c r="F82" s="5">
        <v>3.4050503720287089</v>
      </c>
      <c r="G82" s="5">
        <v>2.8009152564693487</v>
      </c>
      <c r="H82" s="5">
        <v>1.813228419042602</v>
      </c>
      <c r="I82" s="5">
        <v>0.39342859024165411</v>
      </c>
      <c r="J82" s="5">
        <v>0.81360703233028242</v>
      </c>
      <c r="K82" s="5">
        <f t="shared" si="5"/>
        <v>79.091492724040307</v>
      </c>
      <c r="L82" s="5">
        <v>1.3798808191216172</v>
      </c>
      <c r="M82" s="5">
        <v>67.096036083492464</v>
      </c>
      <c r="N82" s="5">
        <v>10.615575821426219</v>
      </c>
      <c r="O82" s="5">
        <v>7.5541581615855673</v>
      </c>
      <c r="P82" s="5">
        <v>2.5498781852900505</v>
      </c>
      <c r="Q82" s="5">
        <f t="shared" si="6"/>
        <v>0.17531441364324751</v>
      </c>
      <c r="R82" s="5">
        <v>0.17531441364324751</v>
      </c>
      <c r="S82" s="5">
        <v>0</v>
      </c>
      <c r="T82" s="5">
        <f t="shared" si="7"/>
        <v>0.76792651609929541</v>
      </c>
      <c r="U82" s="5">
        <v>0.74282280898136566</v>
      </c>
      <c r="V82" s="5">
        <v>2.5103707117929808E-2</v>
      </c>
    </row>
    <row r="83" spans="1:22" x14ac:dyDescent="0.25">
      <c r="A83" t="s">
        <v>98</v>
      </c>
      <c r="B83" s="8" t="s">
        <v>166</v>
      </c>
      <c r="C83" s="5">
        <v>1.3889006273999387</v>
      </c>
      <c r="D83" s="5">
        <v>0.59556509661733681</v>
      </c>
      <c r="E83" s="5">
        <f t="shared" si="4"/>
        <v>0.76361362080477357</v>
      </c>
      <c r="F83" s="5">
        <v>1.0567477187377625</v>
      </c>
      <c r="G83" s="5">
        <v>0.64500770515865302</v>
      </c>
      <c r="H83" s="5">
        <v>9.8321768552247168E-2</v>
      </c>
      <c r="I83" s="5">
        <v>2.0284147093873342E-2</v>
      </c>
      <c r="J83" s="5">
        <v>3.5797293756708557</v>
      </c>
      <c r="K83" s="5">
        <f t="shared" si="5"/>
        <v>84.156531636226362</v>
      </c>
      <c r="L83" s="5">
        <v>0.73220136523578916</v>
      </c>
      <c r="M83" s="5">
        <v>80.945015875162341</v>
      </c>
      <c r="N83" s="5">
        <v>2.4793143958282271</v>
      </c>
      <c r="O83" s="5">
        <v>6.6113641934093428</v>
      </c>
      <c r="P83" s="5">
        <v>1.4518660006705038</v>
      </c>
      <c r="Q83" s="5">
        <f t="shared" si="6"/>
        <v>0.13691799288364506</v>
      </c>
      <c r="R83" s="5">
        <v>4.8738297878334558E-2</v>
      </c>
      <c r="S83" s="5">
        <v>8.8179695005310504E-2</v>
      </c>
      <c r="T83" s="5">
        <f t="shared" si="7"/>
        <v>0.25876373757948146</v>
      </c>
      <c r="U83" s="5">
        <v>0.24101510887234229</v>
      </c>
      <c r="V83" s="5">
        <v>1.7748628707139176E-2</v>
      </c>
    </row>
    <row r="84" spans="1:22" x14ac:dyDescent="0.25">
      <c r="A84" t="s">
        <v>99</v>
      </c>
      <c r="B84" s="8" t="s">
        <v>167</v>
      </c>
      <c r="C84" s="5">
        <v>1.4111004035741734</v>
      </c>
      <c r="D84" s="5">
        <v>6.2330150340322618E-2</v>
      </c>
      <c r="E84" s="5">
        <f t="shared" si="4"/>
        <v>3.250165039398075</v>
      </c>
      <c r="F84" s="5">
        <v>2.9422540967168813</v>
      </c>
      <c r="G84" s="5">
        <v>2.1867584744614406</v>
      </c>
      <c r="H84" s="5">
        <v>0.90091457300595001</v>
      </c>
      <c r="I84" s="5">
        <v>0.16249199193068453</v>
      </c>
      <c r="J84" s="5">
        <v>1.4738641549603417</v>
      </c>
      <c r="K84" s="5">
        <f t="shared" si="5"/>
        <v>76.185654959799763</v>
      </c>
      <c r="L84" s="5">
        <v>1.8017207457504389</v>
      </c>
      <c r="M84" s="5">
        <v>61.018344576247117</v>
      </c>
      <c r="N84" s="5">
        <v>13.365589637802206</v>
      </c>
      <c r="O84" s="5">
        <v>7.6382076233567879</v>
      </c>
      <c r="P84" s="5">
        <v>2.5672975923217924</v>
      </c>
      <c r="Q84" s="5">
        <f t="shared" si="6"/>
        <v>1.9967870162502832</v>
      </c>
      <c r="R84" s="5">
        <v>1.8432922460208974</v>
      </c>
      <c r="S84" s="5">
        <v>0.15349477022938579</v>
      </c>
      <c r="T84" s="5">
        <f t="shared" si="7"/>
        <v>2.4723389632815795</v>
      </c>
      <c r="U84" s="5">
        <v>1.9741855617355748</v>
      </c>
      <c r="V84" s="5">
        <v>0.49815340154600457</v>
      </c>
    </row>
    <row r="85" spans="1:22" x14ac:dyDescent="0.25">
      <c r="A85" t="s">
        <v>100</v>
      </c>
      <c r="B85" s="8" t="s">
        <v>168</v>
      </c>
      <c r="C85" s="5">
        <v>2.0073947154838128</v>
      </c>
      <c r="D85" s="5">
        <v>0</v>
      </c>
      <c r="E85" s="5">
        <f t="shared" si="4"/>
        <v>0.70376048336189012</v>
      </c>
      <c r="F85" s="5">
        <v>1.42663901163315</v>
      </c>
      <c r="G85" s="5">
        <v>0.56813057985390925</v>
      </c>
      <c r="H85" s="5">
        <v>0.10857606637208043</v>
      </c>
      <c r="I85" s="5">
        <v>2.7053837135900444E-2</v>
      </c>
      <c r="J85" s="5">
        <v>0.12480836865362072</v>
      </c>
      <c r="K85" s="5">
        <f t="shared" si="5"/>
        <v>81.776896023085953</v>
      </c>
      <c r="L85" s="5">
        <v>1.1030751194877806</v>
      </c>
      <c r="M85" s="5">
        <v>70.69528361439265</v>
      </c>
      <c r="N85" s="5">
        <v>9.9785372892055193</v>
      </c>
      <c r="O85" s="5">
        <v>9.2581837857336104</v>
      </c>
      <c r="P85" s="5">
        <v>2.5531607899720443</v>
      </c>
      <c r="Q85" s="5">
        <f t="shared" si="6"/>
        <v>0.13310487870863016</v>
      </c>
      <c r="R85" s="5">
        <v>0.13310487870863016</v>
      </c>
      <c r="S85" s="5">
        <v>0</v>
      </c>
      <c r="T85" s="5">
        <f t="shared" si="7"/>
        <v>2.0160519433673012</v>
      </c>
      <c r="U85" s="5">
        <v>1.884029218144107</v>
      </c>
      <c r="V85" s="5">
        <v>0.13202272522319414</v>
      </c>
    </row>
    <row r="86" spans="1:22" x14ac:dyDescent="0.25">
      <c r="A86" t="s">
        <v>101</v>
      </c>
      <c r="B86" s="8" t="s">
        <v>169</v>
      </c>
      <c r="C86" s="5">
        <v>1.162655505173817E-2</v>
      </c>
      <c r="D86" s="5">
        <v>0</v>
      </c>
      <c r="E86" s="5">
        <f t="shared" si="4"/>
        <v>8.6617835135449379</v>
      </c>
      <c r="F86" s="5">
        <v>20.172073014765726</v>
      </c>
      <c r="G86" s="5">
        <v>7.1154516916637602</v>
      </c>
      <c r="H86" s="5">
        <v>0.97663062434600634</v>
      </c>
      <c r="I86" s="5">
        <v>0.56970119753517034</v>
      </c>
      <c r="J86" s="5">
        <v>0.39530287175909778</v>
      </c>
      <c r="K86" s="5">
        <f t="shared" si="5"/>
        <v>61.132426462039291</v>
      </c>
      <c r="L86" s="5">
        <v>8.5803976281827694</v>
      </c>
      <c r="M86" s="5">
        <v>21.718404836646901</v>
      </c>
      <c r="N86" s="5">
        <v>30.833623997209624</v>
      </c>
      <c r="O86" s="5">
        <v>1.7323567027089875</v>
      </c>
      <c r="P86" s="5">
        <v>2.1741657946750377</v>
      </c>
      <c r="Q86" s="5">
        <f t="shared" si="6"/>
        <v>4.0576677130566212</v>
      </c>
      <c r="R86" s="5">
        <v>4.0576677130566212</v>
      </c>
      <c r="S86" s="5">
        <v>0</v>
      </c>
      <c r="T86" s="5">
        <f t="shared" si="7"/>
        <v>1.6625973723985581</v>
      </c>
      <c r="U86" s="5">
        <v>1.6625973723985581</v>
      </c>
      <c r="V86" s="5">
        <v>0</v>
      </c>
    </row>
    <row r="87" spans="1:22" x14ac:dyDescent="0.25">
      <c r="A87" t="s">
        <v>102</v>
      </c>
      <c r="B87" s="8" t="s">
        <v>170</v>
      </c>
      <c r="C87" s="5">
        <v>0</v>
      </c>
      <c r="D87" s="5">
        <v>0</v>
      </c>
      <c r="E87" s="5">
        <f t="shared" si="4"/>
        <v>5.4865839006808166</v>
      </c>
      <c r="F87" s="5">
        <v>7.9695634761714054</v>
      </c>
      <c r="G87" s="5">
        <v>4.8057669203043654</v>
      </c>
      <c r="H87" s="5">
        <v>0.60072086503804567</v>
      </c>
      <c r="I87" s="5">
        <v>8.009611533840609E-2</v>
      </c>
      <c r="J87" s="5">
        <v>0.12014417300760913</v>
      </c>
      <c r="K87" s="5">
        <f t="shared" si="5"/>
        <v>57.028434120945136</v>
      </c>
      <c r="L87" s="5">
        <v>1.4417300760913097</v>
      </c>
      <c r="M87" s="5">
        <v>37.204645574689629</v>
      </c>
      <c r="N87" s="5">
        <v>18.382058470164196</v>
      </c>
      <c r="O87" s="5">
        <v>2.2827392871445733</v>
      </c>
      <c r="P87" s="5">
        <v>0.88105726872246704</v>
      </c>
      <c r="Q87" s="5">
        <f t="shared" si="6"/>
        <v>25.951141369643572</v>
      </c>
      <c r="R87" s="5">
        <v>25.951141369643572</v>
      </c>
      <c r="S87" s="5">
        <v>0</v>
      </c>
      <c r="T87" s="5">
        <f t="shared" si="7"/>
        <v>0.28033640368442131</v>
      </c>
      <c r="U87" s="5">
        <v>0.28033640368442131</v>
      </c>
      <c r="V87" s="5">
        <v>0</v>
      </c>
    </row>
    <row r="88" spans="1:22" x14ac:dyDescent="0.25">
      <c r="A88" t="s">
        <v>103</v>
      </c>
      <c r="B88" s="8" t="s">
        <v>171</v>
      </c>
      <c r="C88" s="5">
        <v>4.4883303411131059E-2</v>
      </c>
      <c r="D88" s="5">
        <v>0</v>
      </c>
      <c r="E88" s="5">
        <f t="shared" si="4"/>
        <v>6.059245960502694</v>
      </c>
      <c r="F88" s="5">
        <v>11.826750448833035</v>
      </c>
      <c r="G88" s="5">
        <v>5.6777378815080795</v>
      </c>
      <c r="H88" s="5">
        <v>0.33662477558348292</v>
      </c>
      <c r="I88" s="5">
        <v>4.4883303411131059E-2</v>
      </c>
      <c r="J88" s="5">
        <v>0</v>
      </c>
      <c r="K88" s="5">
        <f t="shared" si="5"/>
        <v>79.555655296229801</v>
      </c>
      <c r="L88" s="5">
        <v>4.5107719928186709</v>
      </c>
      <c r="M88" s="5">
        <v>49.012567324955114</v>
      </c>
      <c r="N88" s="5">
        <v>26.032315978456015</v>
      </c>
      <c r="O88" s="5">
        <v>1.4138240574506284</v>
      </c>
      <c r="P88" s="5">
        <v>0.56104129263913827</v>
      </c>
      <c r="Q88" s="5">
        <f t="shared" si="6"/>
        <v>0.33662477558348292</v>
      </c>
      <c r="R88" s="5">
        <v>0.33662477558348292</v>
      </c>
      <c r="S88" s="5">
        <v>0</v>
      </c>
      <c r="T88" s="5">
        <f t="shared" si="7"/>
        <v>0.20197486535008977</v>
      </c>
      <c r="U88" s="5">
        <v>0.13464991023339318</v>
      </c>
      <c r="V88" s="5">
        <v>6.7324955116696589E-2</v>
      </c>
    </row>
    <row r="89" spans="1:22" x14ac:dyDescent="0.25">
      <c r="A89" t="s">
        <v>104</v>
      </c>
      <c r="B89" s="8" t="s">
        <v>172</v>
      </c>
      <c r="C89" s="5">
        <v>0.14540167211922936</v>
      </c>
      <c r="D89" s="5">
        <v>0</v>
      </c>
      <c r="E89" s="5">
        <f t="shared" si="4"/>
        <v>5.5070883315158126</v>
      </c>
      <c r="F89" s="5">
        <v>10.723373318793167</v>
      </c>
      <c r="G89" s="5">
        <v>5.1617593602326428</v>
      </c>
      <c r="H89" s="5">
        <v>0.32715376226826609</v>
      </c>
      <c r="I89" s="5">
        <v>1.817520901490367E-2</v>
      </c>
      <c r="J89" s="5">
        <v>0.32715376226826609</v>
      </c>
      <c r="K89" s="5">
        <f t="shared" si="5"/>
        <v>60.814249363867681</v>
      </c>
      <c r="L89" s="5">
        <v>10.741548527808071</v>
      </c>
      <c r="M89" s="5">
        <v>34.56924754634678</v>
      </c>
      <c r="N89" s="5">
        <v>15.503453289712832</v>
      </c>
      <c r="O89" s="5">
        <v>1.5448927662668122</v>
      </c>
      <c r="P89" s="5">
        <v>0.96328607778989461</v>
      </c>
      <c r="Q89" s="5">
        <f t="shared" si="6"/>
        <v>19.683751363140676</v>
      </c>
      <c r="R89" s="5">
        <v>19.683751363140676</v>
      </c>
      <c r="S89" s="5">
        <v>0</v>
      </c>
      <c r="T89" s="5">
        <f t="shared" si="7"/>
        <v>0.29080334423845872</v>
      </c>
      <c r="U89" s="5">
        <v>0.29080334423845872</v>
      </c>
      <c r="V89" s="5">
        <v>0</v>
      </c>
    </row>
    <row r="90" spans="1:22" x14ac:dyDescent="0.25">
      <c r="A90" t="s">
        <v>105</v>
      </c>
      <c r="B90" s="8" t="s">
        <v>173</v>
      </c>
      <c r="C90" s="5">
        <v>0</v>
      </c>
      <c r="D90" s="5">
        <v>0</v>
      </c>
      <c r="E90" s="5">
        <f t="shared" si="4"/>
        <v>7.151837881813476</v>
      </c>
      <c r="F90" s="5">
        <v>13.297833000517715</v>
      </c>
      <c r="G90" s="5">
        <v>5.6578655424894615</v>
      </c>
      <c r="H90" s="5">
        <v>1.1019894978182088</v>
      </c>
      <c r="I90" s="5">
        <v>0.39198284150580576</v>
      </c>
      <c r="J90" s="5">
        <v>0.33281562014643884</v>
      </c>
      <c r="K90" s="5">
        <f t="shared" si="5"/>
        <v>60.239627246505435</v>
      </c>
      <c r="L90" s="5">
        <v>6.9669403150654539</v>
      </c>
      <c r="M90" s="5">
        <v>32.061238074106946</v>
      </c>
      <c r="N90" s="5">
        <v>21.211448857333039</v>
      </c>
      <c r="O90" s="5">
        <v>2.6181495451519861</v>
      </c>
      <c r="P90" s="5">
        <v>2.1152281635973673</v>
      </c>
      <c r="Q90" s="5">
        <f t="shared" si="6"/>
        <v>10.420826861918497</v>
      </c>
      <c r="R90" s="5">
        <v>10.420826861918497</v>
      </c>
      <c r="S90" s="5">
        <v>0</v>
      </c>
      <c r="T90" s="5">
        <f t="shared" si="7"/>
        <v>3.8236816803490865</v>
      </c>
      <c r="U90" s="5">
        <v>3.6239923082612231</v>
      </c>
      <c r="V90" s="5">
        <v>0.19968937208786333</v>
      </c>
    </row>
    <row r="91" spans="1:22" x14ac:dyDescent="0.25">
      <c r="A91" t="s">
        <v>106</v>
      </c>
      <c r="B91" s="8" t="s">
        <v>174</v>
      </c>
      <c r="C91" s="5">
        <v>0</v>
      </c>
      <c r="D91" s="5">
        <v>0</v>
      </c>
      <c r="E91" s="5">
        <f t="shared" si="4"/>
        <v>3.9134054954204829</v>
      </c>
      <c r="F91" s="5">
        <v>6.8276436303080761</v>
      </c>
      <c r="G91" s="5">
        <v>3.330557868442964</v>
      </c>
      <c r="H91" s="5">
        <v>0.49958368026644462</v>
      </c>
      <c r="I91" s="5">
        <v>8.3263946711074108E-2</v>
      </c>
      <c r="J91" s="5">
        <v>3.5803497085761866</v>
      </c>
      <c r="K91" s="5">
        <f t="shared" si="5"/>
        <v>73.522064945878441</v>
      </c>
      <c r="L91" s="5">
        <v>17.152373022481264</v>
      </c>
      <c r="M91" s="5">
        <v>18.06827643630308</v>
      </c>
      <c r="N91" s="5">
        <v>38.30141548709409</v>
      </c>
      <c r="O91" s="5">
        <v>4.5795170691090759</v>
      </c>
      <c r="P91" s="5">
        <v>3.0807660283097418</v>
      </c>
      <c r="Q91" s="5">
        <f t="shared" si="6"/>
        <v>4.4962531223980013</v>
      </c>
      <c r="R91" s="5">
        <v>4.4962531223980013</v>
      </c>
      <c r="S91" s="5">
        <v>0</v>
      </c>
      <c r="T91" s="5">
        <f t="shared" si="7"/>
        <v>0</v>
      </c>
      <c r="U91" s="5">
        <v>0</v>
      </c>
      <c r="V91" s="5">
        <v>0</v>
      </c>
    </row>
    <row r="92" spans="1:22" x14ac:dyDescent="0.25">
      <c r="A92" t="s">
        <v>107</v>
      </c>
      <c r="B92" s="8" t="s">
        <v>175</v>
      </c>
      <c r="C92" s="5">
        <v>6.2111801242236024E-2</v>
      </c>
      <c r="D92" s="5">
        <v>0</v>
      </c>
      <c r="E92" s="5">
        <f t="shared" si="4"/>
        <v>36.024844720496894</v>
      </c>
      <c r="F92" s="5">
        <v>25.217391304347824</v>
      </c>
      <c r="G92" s="5">
        <v>21.987577639751553</v>
      </c>
      <c r="H92" s="5">
        <v>8.1366459627329188</v>
      </c>
      <c r="I92" s="5">
        <v>5.9006211180124222</v>
      </c>
      <c r="J92" s="5">
        <v>0.93167701863354035</v>
      </c>
      <c r="K92" s="5">
        <f t="shared" si="5"/>
        <v>33.850931677018636</v>
      </c>
      <c r="L92" s="5">
        <v>17.267080745341616</v>
      </c>
      <c r="M92" s="5">
        <v>3.5403726708074532</v>
      </c>
      <c r="N92" s="5">
        <v>13.043478260869565</v>
      </c>
      <c r="O92" s="5">
        <v>1.3664596273291925</v>
      </c>
      <c r="P92" s="5">
        <v>0.55900621118012428</v>
      </c>
      <c r="Q92" s="5">
        <f t="shared" si="6"/>
        <v>1.9875776397515528</v>
      </c>
      <c r="R92" s="5">
        <v>1.9875776397515528</v>
      </c>
      <c r="S92" s="5">
        <v>0</v>
      </c>
      <c r="T92" s="5">
        <f t="shared" si="7"/>
        <v>0</v>
      </c>
      <c r="U92" s="5">
        <v>0</v>
      </c>
      <c r="V92" s="5">
        <v>0</v>
      </c>
    </row>
    <row r="93" spans="1:22" x14ac:dyDescent="0.25">
      <c r="A93" t="s">
        <v>108</v>
      </c>
      <c r="B93" s="8" t="s">
        <v>121</v>
      </c>
      <c r="C93" s="5">
        <v>1.8514298837541021</v>
      </c>
      <c r="D93" s="5">
        <v>0</v>
      </c>
      <c r="E93" s="5">
        <f t="shared" si="4"/>
        <v>9.9385847030517471</v>
      </c>
      <c r="F93" s="5">
        <v>5.9466801111683258</v>
      </c>
      <c r="G93" s="5">
        <v>5.5481893880538902</v>
      </c>
      <c r="H93" s="5">
        <v>3.5223637443415572</v>
      </c>
      <c r="I93" s="5">
        <v>0.86803157065629866</v>
      </c>
      <c r="J93" s="5">
        <v>0.20992082217194488</v>
      </c>
      <c r="K93" s="5">
        <f t="shared" si="5"/>
        <v>75.91705795070628</v>
      </c>
      <c r="L93" s="5">
        <v>1.3883481384329142</v>
      </c>
      <c r="M93" s="5">
        <v>61.448848395899901</v>
      </c>
      <c r="N93" s="5">
        <v>13.079861416373465</v>
      </c>
      <c r="O93" s="5">
        <v>3.4873769406462336</v>
      </c>
      <c r="P93" s="5">
        <v>0.54651181567157614</v>
      </c>
      <c r="Q93" s="5">
        <f t="shared" si="6"/>
        <v>0.56678621986425126</v>
      </c>
      <c r="R93" s="5">
        <v>0.56678621986425126</v>
      </c>
      <c r="S93" s="5">
        <v>0</v>
      </c>
      <c r="T93" s="5">
        <f t="shared" si="7"/>
        <v>1.5356515529655355</v>
      </c>
      <c r="U93" s="5">
        <v>1.3992927283068362</v>
      </c>
      <c r="V93" s="5">
        <v>0.13635882465869922</v>
      </c>
    </row>
    <row r="94" spans="1:22" x14ac:dyDescent="0.25">
      <c r="A94" t="s">
        <v>109</v>
      </c>
      <c r="B94" s="8" t="s">
        <v>176</v>
      </c>
      <c r="C94" s="5">
        <v>8.2822594003644188E-3</v>
      </c>
      <c r="D94" s="5">
        <v>0</v>
      </c>
      <c r="E94" s="5">
        <f t="shared" si="4"/>
        <v>14.601623322842473</v>
      </c>
      <c r="F94" s="5">
        <v>5.8389928772569153</v>
      </c>
      <c r="G94" s="5">
        <v>6.2034122908729499</v>
      </c>
      <c r="H94" s="5">
        <v>6.4353155540831537</v>
      </c>
      <c r="I94" s="5">
        <v>1.9628954778863676</v>
      </c>
      <c r="J94" s="5">
        <v>2.4846778201093257E-2</v>
      </c>
      <c r="K94" s="5">
        <f t="shared" si="5"/>
        <v>77.836673844624812</v>
      </c>
      <c r="L94" s="5">
        <v>19.421898293854564</v>
      </c>
      <c r="M94" s="5">
        <v>11.835348683120756</v>
      </c>
      <c r="N94" s="5">
        <v>46.579426867649495</v>
      </c>
      <c r="O94" s="5">
        <v>0.91104853404008623</v>
      </c>
      <c r="P94" s="5">
        <v>0.37270167301639889</v>
      </c>
      <c r="Q94" s="5">
        <f t="shared" si="6"/>
        <v>0.25675004141129698</v>
      </c>
      <c r="R94" s="5">
        <v>0.25675004141129698</v>
      </c>
      <c r="S94" s="5">
        <v>0</v>
      </c>
      <c r="T94" s="5">
        <f t="shared" si="7"/>
        <v>0.14908066920655955</v>
      </c>
      <c r="U94" s="5">
        <v>0.10766937220473745</v>
      </c>
      <c r="V94" s="5">
        <v>4.1411297001822098E-2</v>
      </c>
    </row>
    <row r="96" spans="1:22" x14ac:dyDescent="0.25">
      <c r="T96" s="5"/>
    </row>
    <row r="97" spans="3:20" x14ac:dyDescent="0.25">
      <c r="T97" s="5"/>
    </row>
    <row r="98" spans="3:20" x14ac:dyDescent="0.25">
      <c r="T98" s="5"/>
    </row>
    <row r="99" spans="3:20" x14ac:dyDescent="0.25">
      <c r="T99" s="5"/>
    </row>
    <row r="100" spans="3:20" x14ac:dyDescent="0.25">
      <c r="C100" s="5">
        <f>MAX(C2:C94)</f>
        <v>7.7175821505457307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LULC - sq m</vt:lpstr>
      <vt:lpstr>LULC - 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Walls, Jeremy</dc:creator>
  <cp:lastModifiedBy>Eric French</cp:lastModifiedBy>
  <dcterms:created xsi:type="dcterms:W3CDTF">2023-08-16T22:48:39Z</dcterms:created>
  <dcterms:modified xsi:type="dcterms:W3CDTF">2024-01-30T22:54:02Z</dcterms:modified>
</cp:coreProperties>
</file>